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Vulnerabilitie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Sources &amp; 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b val="1"/>
      <color rgb="001F2937"/>
      <sz val="13"/>
    </font>
    <font>
      <name val="Arial"/>
      <i val="1"/>
      <color rgb="00666666"/>
      <sz val="9"/>
    </font>
    <font>
      <name val="Arial"/>
      <b val="1"/>
      <sz val="11"/>
    </font>
    <font>
      <name val="Arial"/>
      <i val="1"/>
      <color rgb="00888888"/>
      <sz val="8"/>
    </font>
    <font>
      <name val="Arial"/>
      <i val="1"/>
      <sz val="9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D9EAD3"/>
      </patternFill>
    </fill>
    <fill>
      <patternFill patternType="solid">
        <fgColor rgb="00FDE2CB"/>
      </patternFill>
    </fill>
    <fill>
      <patternFill patternType="solid">
        <fgColor rgb="00FFF3C4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ulnTable" displayName="VulnTable" ref="A1:J101" headerRowCount="1">
  <autoFilter ref="A1:J101"/>
  <tableColumns count="10">
    <tableColumn id="1" name="Rank"/>
    <tableColumn id="2" name="Vulnerability"/>
    <tableColumn id="3" name="Category"/>
    <tableColumn id="4" name="CWE / Reference ID"/>
    <tableColumn id="5" name="Description"/>
    <tableColumn id="6" name="Real-World Example"/>
    <tableColumn id="7" name="Source"/>
    <tableColumn id="8" name="Severity"/>
    <tableColumn id="9" name="ECDAT Detects"/>
    <tableColumn id="10" name="Mitig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5" customWidth="1" min="4" max="4"/>
    <col width="46" customWidth="1" min="5" max="5"/>
    <col width="34" customWidth="1" min="6" max="6"/>
    <col width="30" customWidth="1" min="7" max="7"/>
    <col width="10" customWidth="1" min="8" max="8"/>
    <col width="12" customWidth="1" min="9" max="9"/>
    <col width="34" customWidth="1" min="10" max="10"/>
  </cols>
  <sheetData>
    <row r="1" ht="20" customHeight="1">
      <c r="A1" s="1" t="inlineStr">
        <is>
          <t>Rank</t>
        </is>
      </c>
      <c r="B1" s="1" t="inlineStr">
        <is>
          <t>Vulnerability</t>
        </is>
      </c>
      <c r="C1" s="1" t="inlineStr">
        <is>
          <t>Category</t>
        </is>
      </c>
      <c r="D1" s="1" t="inlineStr">
        <is>
          <t>CWE / Reference ID</t>
        </is>
      </c>
      <c r="E1" s="1" t="inlineStr">
        <is>
          <t>Description</t>
        </is>
      </c>
      <c r="F1" s="1" t="inlineStr">
        <is>
          <t>Real-World Example</t>
        </is>
      </c>
      <c r="G1" s="1" t="inlineStr">
        <is>
          <t>Source</t>
        </is>
      </c>
      <c r="H1" s="1" t="inlineStr">
        <is>
          <t>Severity</t>
        </is>
      </c>
      <c r="I1" s="1" t="inlineStr">
        <is>
          <t>ECDAT Detects</t>
        </is>
      </c>
      <c r="J1" s="1" t="inlineStr">
        <is>
          <t>Mitigation</t>
        </is>
      </c>
    </row>
    <row r="2" ht="60" customHeight="1">
      <c r="A2" s="2" t="n">
        <v>1</v>
      </c>
      <c r="B2" s="3" t="inlineStr">
        <is>
          <t>Use of DES (56-bit) encryption</t>
        </is>
      </c>
      <c r="C2" s="3" t="inlineStr">
        <is>
          <t>Weak Algorithm</t>
        </is>
      </c>
      <c r="D2" s="3" t="inlineStr">
        <is>
          <t>CWE-327</t>
        </is>
      </c>
      <c r="E2" s="3" t="inlineStr">
        <is>
          <t>56-bit key is brute-forceable in hours on commodity hardware; broken since the 1990s DESCHALL/EFF Deep Crack efforts.</t>
        </is>
      </c>
      <c r="F2" s="3" t="inlineStr">
        <is>
          <t>EFF 'Deep Crack' broke DES in 56 hours (1998)</t>
        </is>
      </c>
      <c r="G2" s="3" t="inlineStr">
        <is>
          <t>NIST SP 800-131A Rev.2 (DES disallowed)</t>
        </is>
      </c>
      <c r="H2" s="4" t="inlineStr">
        <is>
          <t>Critical</t>
        </is>
      </c>
      <c r="I2" s="5" t="inlineStr">
        <is>
          <t>Yes</t>
        </is>
      </c>
      <c r="J2" s="3" t="inlineStr">
        <is>
          <t>Migrate to AES-256-GCM</t>
        </is>
      </c>
    </row>
    <row r="3" ht="60" customHeight="1">
      <c r="A3" s="2" t="n">
        <v>2</v>
      </c>
      <c r="B3" s="3" t="inlineStr">
        <is>
          <t>Use of Triple DES (3DES/DESede)</t>
        </is>
      </c>
      <c r="C3" s="3" t="inlineStr">
        <is>
          <t>Weak Algorithm</t>
        </is>
      </c>
      <c r="D3" s="3" t="inlineStr">
        <is>
          <t>CWE-327</t>
        </is>
      </c>
      <c r="E3" s="3" t="inlineStr">
        <is>
          <t>64-bit block size is vulnerable to birthday-bound collision attacks (Sweet32) well before its 2^112 keyspace is threatened.</t>
        </is>
      </c>
      <c r="F3" s="3" t="inlineStr">
        <is>
          <t>Sweet32 collision attack, CVE-2016-2183</t>
        </is>
      </c>
      <c r="G3" s="3" t="inlineStr">
        <is>
          <t>NIST SP 800-131A Rev.2 (3DES disallowed after 2023)</t>
        </is>
      </c>
      <c r="H3" s="6" t="inlineStr">
        <is>
          <t>High</t>
        </is>
      </c>
      <c r="I3" s="5" t="inlineStr">
        <is>
          <t>Yes</t>
        </is>
      </c>
      <c r="J3" s="3" t="inlineStr">
        <is>
          <t>Migrate to AES-256-GCM</t>
        </is>
      </c>
    </row>
    <row r="4" ht="60" customHeight="1">
      <c r="A4" s="2" t="n">
        <v>3</v>
      </c>
      <c r="B4" s="3" t="inlineStr">
        <is>
          <t>Use of RC4 stream cipher</t>
        </is>
      </c>
      <c r="C4" s="3" t="inlineStr">
        <is>
          <t>Weak Algorithm</t>
        </is>
      </c>
      <c r="D4" s="3" t="inlineStr">
        <is>
          <t>CWE-327</t>
        </is>
      </c>
      <c r="E4" s="3" t="inlineStr">
        <is>
          <t>Statistical keystream biases allow practical plaintext recovery from TLS/WEP traffic.</t>
        </is>
      </c>
      <c r="F4" s="3" t="inlineStr">
        <is>
          <t>RC4 NOMORE attack (2015); CVE-2013-2566</t>
        </is>
      </c>
      <c r="G4" s="3" t="inlineStr">
        <is>
          <t>NIST SP 800-131A Rev.2 (RC4 disallowed)</t>
        </is>
      </c>
      <c r="H4" s="4" t="inlineStr">
        <is>
          <t>Critical</t>
        </is>
      </c>
      <c r="I4" s="5" t="inlineStr">
        <is>
          <t>Yes</t>
        </is>
      </c>
      <c r="J4" s="3" t="inlineStr">
        <is>
          <t>Migrate to ChaCha20-Poly1305 or AES-GCM</t>
        </is>
      </c>
    </row>
    <row r="5" ht="60" customHeight="1">
      <c r="A5" s="2" t="n">
        <v>4</v>
      </c>
      <c r="B5" s="3" t="inlineStr">
        <is>
          <t>Use of Blowfish (64-bit block)</t>
        </is>
      </c>
      <c r="C5" s="3" t="inlineStr">
        <is>
          <t>Weak Algorithm</t>
        </is>
      </c>
      <c r="D5" s="3" t="inlineStr">
        <is>
          <t>CWE-327</t>
        </is>
      </c>
      <c r="E5" s="3" t="inlineStr">
        <is>
          <t>64-bit block size shares Sweet32's birthday-bound weakness for high-volume traffic (e.g. bcrypt's use is unaffected, but bulk encryption use is not).</t>
        </is>
      </c>
      <c r="F5" s="3" t="inlineStr">
        <is>
          <t>Sweet32-class birthday attack</t>
        </is>
      </c>
      <c r="G5" s="3" t="inlineStr">
        <is>
          <t>CWE-327 Observed Examples / Schneier, Applied Cryptography</t>
        </is>
      </c>
      <c r="H5" s="7" t="inlineStr">
        <is>
          <t>Medium</t>
        </is>
      </c>
      <c r="I5" s="5" t="inlineStr">
        <is>
          <t>Yes</t>
        </is>
      </c>
      <c r="J5" s="3" t="inlineStr">
        <is>
          <t>Migrate to AES-256-GCM</t>
        </is>
      </c>
    </row>
    <row r="6" ht="60" customHeight="1">
      <c r="A6" s="2" t="n">
        <v>5</v>
      </c>
      <c r="B6" s="3" t="inlineStr">
        <is>
          <t>Use of MD5 as a cryptographic hash</t>
        </is>
      </c>
      <c r="C6" s="3" t="inlineStr">
        <is>
          <t>Weak Algorithm</t>
        </is>
      </c>
      <c r="D6" s="3" t="inlineStr">
        <is>
          <t>CWE-328</t>
        </is>
      </c>
      <c r="E6" s="3" t="inlineStr">
        <is>
          <t>Collision-resistance fully broken; practical chosen-prefix collisions cost ~$110K as of 2017 estimates.</t>
        </is>
      </c>
      <c r="F6" s="3" t="inlineStr">
        <is>
          <t>Flame malware forged a Microsoft code-signing certificate via an MD5 collision (2012)</t>
        </is>
      </c>
      <c r="G6" s="3" t="inlineStr">
        <is>
          <t>NIST SP 800-131A Rev.2 (MD5 disallowed)</t>
        </is>
      </c>
      <c r="H6" s="4" t="inlineStr">
        <is>
          <t>Critical</t>
        </is>
      </c>
      <c r="I6" s="5" t="inlineStr">
        <is>
          <t>Yes</t>
        </is>
      </c>
      <c r="J6" s="3" t="inlineStr">
        <is>
          <t>Migrate to SHA-256 or SHA-3</t>
        </is>
      </c>
    </row>
    <row r="7" ht="60" customHeight="1">
      <c r="A7" s="2" t="n">
        <v>6</v>
      </c>
      <c r="B7" s="3" t="inlineStr">
        <is>
          <t>Use of SHA-1 as a cryptographic hash</t>
        </is>
      </c>
      <c r="C7" s="3" t="inlineStr">
        <is>
          <t>Weak Algorithm</t>
        </is>
      </c>
      <c r="D7" s="3" t="inlineStr">
        <is>
          <t>CWE-328</t>
        </is>
      </c>
      <c r="E7" s="3" t="inlineStr">
        <is>
          <t>Collision-resistance broken in practice; a real PDF collision pair was published.</t>
        </is>
      </c>
      <c r="F7" s="3" t="inlineStr">
        <is>
          <t>Google/CWI 'SHAttered' attack (2017)</t>
        </is>
      </c>
      <c r="G7" s="3" t="inlineStr">
        <is>
          <t>NIST SP 800-131A Rev.2 (SHA-1 disallowed for digital signatures)</t>
        </is>
      </c>
      <c r="H7" s="6" t="inlineStr">
        <is>
          <t>High</t>
        </is>
      </c>
      <c r="I7" s="5" t="inlineStr">
        <is>
          <t>Yes</t>
        </is>
      </c>
      <c r="J7" s="3" t="inlineStr">
        <is>
          <t>Migrate to SHA-256 or SHA-3</t>
        </is>
      </c>
    </row>
    <row r="8" ht="60" customHeight="1">
      <c r="A8" s="2" t="n">
        <v>7</v>
      </c>
      <c r="B8" s="3" t="inlineStr">
        <is>
          <t>Use of MD4 as a cryptographic hash</t>
        </is>
      </c>
      <c r="C8" s="3" t="inlineStr">
        <is>
          <t>Weak Algorithm</t>
        </is>
      </c>
      <c r="D8" s="3" t="inlineStr">
        <is>
          <t>CWE-328</t>
        </is>
      </c>
      <c r="E8" s="3" t="inlineStr">
        <is>
          <t>Fully broken; collisions can be found by hand-calculation-level effort.</t>
        </is>
      </c>
      <c r="F8" s="3" t="inlineStr">
        <is>
          <t>Dobbertin's 1996 collision attack</t>
        </is>
      </c>
      <c r="G8" s="3" t="inlineStr">
        <is>
          <t>CWE-327 family / NIST SP 800-131A</t>
        </is>
      </c>
      <c r="H8" s="4" t="inlineStr">
        <is>
          <t>Critical</t>
        </is>
      </c>
      <c r="I8" s="7" t="inlineStr">
        <is>
          <t>Partial</t>
        </is>
      </c>
      <c r="J8" s="3" t="inlineStr">
        <is>
          <t>Migrate to SHA-256; ECDAT's Negative Proof Certificate checks for its absence but it is not in the active discovery signature set</t>
        </is>
      </c>
    </row>
    <row r="9" ht="60" customHeight="1">
      <c r="A9" s="2" t="n">
        <v>8</v>
      </c>
      <c r="B9" s="3" t="inlineStr">
        <is>
          <t>RSA key length below 2048 bits</t>
        </is>
      </c>
      <c r="C9" s="3" t="inlineStr">
        <is>
          <t>Weak Algorithm / Key Mgmt</t>
        </is>
      </c>
      <c r="D9" s="3" t="inlineStr">
        <is>
          <t>CWE-326</t>
        </is>
      </c>
      <c r="E9" s="3" t="inlineStr">
        <is>
          <t>1024-bit RSA is within reach of well-resourced factoring efforts and is disallowed by NIST for new use.</t>
        </is>
      </c>
      <c r="F9" s="3" t="inlineStr">
        <is>
          <t>NIST SP 800-131A Rev.2 minimum-strength tables</t>
        </is>
      </c>
      <c r="G9" s="3" t="inlineStr">
        <is>
          <t>NIST SP 800-131A Rev.2</t>
        </is>
      </c>
      <c r="H9" s="6" t="inlineStr">
        <is>
          <t>High</t>
        </is>
      </c>
      <c r="I9" s="5" t="inlineStr">
        <is>
          <t>Yes</t>
        </is>
      </c>
      <c r="J9" s="3" t="inlineStr">
        <is>
          <t>Use RSA-3072+ or migrate to ML-DSA-65 (PQC)</t>
        </is>
      </c>
    </row>
    <row r="10" ht="60" customHeight="1">
      <c r="A10" s="2" t="n">
        <v>9</v>
      </c>
      <c r="B10" s="3" t="inlineStr">
        <is>
          <t>Encryption in ECB (Electronic Codebook) mode</t>
        </is>
      </c>
      <c r="C10" s="3" t="inlineStr">
        <is>
          <t>Weak Algorithm</t>
        </is>
      </c>
      <c r="D10" s="3" t="inlineStr">
        <is>
          <t>CWE-1240</t>
        </is>
      </c>
      <c r="E10" s="3" t="inlineStr">
        <is>
          <t>Identical plaintext blocks produce identical ciphertext blocks, leaking structural patterns (the famous 'ECB penguin' image).</t>
        </is>
      </c>
      <c r="F10" s="3" t="inlineStr">
        <is>
          <t>Classic textbook demonstration; real-world Adobe 2013 password-hint leak exhibited ECB-like patterning</t>
        </is>
      </c>
      <c r="G10" s="3" t="inlineStr">
        <is>
          <t>CWE-1240; NIST SP 800-38A (ECB not recommended for general use)</t>
        </is>
      </c>
      <c r="H10" s="6" t="inlineStr">
        <is>
          <t>High</t>
        </is>
      </c>
      <c r="I10" s="7" t="inlineStr">
        <is>
          <t>Partial</t>
        </is>
      </c>
      <c r="J10" s="3" t="inlineStr">
        <is>
          <t>Use AES-GCM or AES-CBC with a unique random IV</t>
        </is>
      </c>
    </row>
    <row r="11" ht="60" customHeight="1">
      <c r="A11" s="2" t="n">
        <v>10</v>
      </c>
      <c r="B11" s="3" t="inlineStr">
        <is>
          <t>Custom / home-grown cryptographic algorithm</t>
        </is>
      </c>
      <c r="C11" s="3" t="inlineStr">
        <is>
          <t>Weak Algorithm</t>
        </is>
      </c>
      <c r="D11" s="3" t="inlineStr">
        <is>
          <t>CWE-327</t>
        </is>
      </c>
      <c r="E11" s="3" t="inlineStr">
        <is>
          <t>Unvetted, non-peer-reviewed algorithms almost always contain exploitable structural weaknesses.</t>
        </is>
      </c>
      <c r="F11" s="3" t="inlineStr">
        <is>
          <t>CWE-327 explicitly warns against 'proprietary' encryption</t>
        </is>
      </c>
      <c r="G11" s="3" t="inlineStr">
        <is>
          <t>CWE-327 Potential Mitigations</t>
        </is>
      </c>
      <c r="H11" s="4" t="inlineStr">
        <is>
          <t>Critical</t>
        </is>
      </c>
      <c r="I11" s="8" t="inlineStr">
        <is>
          <t>No</t>
        </is>
      </c>
      <c r="J11" s="3" t="inlineStr">
        <is>
          <t>Use a vetted, standard library implementation (NIST-approved)</t>
        </is>
      </c>
    </row>
    <row r="12" ht="60" customHeight="1">
      <c r="A12" s="2" t="n">
        <v>11</v>
      </c>
      <c r="B12" s="3" t="inlineStr">
        <is>
          <t>XOR-only 'encryption' with a static key</t>
        </is>
      </c>
      <c r="C12" s="3" t="inlineStr">
        <is>
          <t>Weak Algorithm</t>
        </is>
      </c>
      <c r="D12" s="3" t="inlineStr">
        <is>
          <t>CWE-327</t>
        </is>
      </c>
      <c r="E12" s="3" t="inlineStr">
        <is>
          <t>Trivially reversible once any plaintext/ciphertext pair or key-reuse pattern is known.</t>
        </is>
      </c>
      <c r="F12" s="3" t="inlineStr">
        <is>
          <t>CVE-2007-4150, CVE-2007-5460 (real products found using bare XOR obfuscation)</t>
        </is>
      </c>
      <c r="G12" s="3" t="inlineStr">
        <is>
          <t>CWE-327 Observed Examples</t>
        </is>
      </c>
      <c r="H12" s="4" t="inlineStr">
        <is>
          <t>Critical</t>
        </is>
      </c>
      <c r="I12" s="7" t="inlineStr">
        <is>
          <t>Partial</t>
        </is>
      </c>
      <c r="J12" s="3" t="inlineStr">
        <is>
          <t>Replace with AES-GCM; ECDAT flags XOR-based primitives only where a named library call is used</t>
        </is>
      </c>
    </row>
    <row r="13" ht="60" customHeight="1">
      <c r="A13" s="2" t="n">
        <v>12</v>
      </c>
      <c r="B13" s="3" t="inlineStr">
        <is>
          <t>Substitution/obfuscation mistaken for encryption (e.g. ROT-N)</t>
        </is>
      </c>
      <c r="C13" s="3" t="inlineStr">
        <is>
          <t>Weak Algorithm</t>
        </is>
      </c>
      <c r="D13" s="3" t="inlineStr">
        <is>
          <t>CWE-327</t>
        </is>
      </c>
      <c r="E13" s="3" t="inlineStr">
        <is>
          <t>Provides no real confidentiality; equivalent to no protection against any motivated attacker.</t>
        </is>
      </c>
      <c r="F13" s="3" t="inlineStr">
        <is>
          <t>CVE-2008-3775 ('ROT-25' used to obfuscate a password in the registry)</t>
        </is>
      </c>
      <c r="G13" s="3" t="inlineStr">
        <is>
          <t>CWE-327 Observed Examples</t>
        </is>
      </c>
      <c r="H13" s="4" t="inlineStr">
        <is>
          <t>Critical</t>
        </is>
      </c>
      <c r="I13" s="8" t="inlineStr">
        <is>
          <t>No</t>
        </is>
      </c>
      <c r="J13" s="3" t="inlineStr">
        <is>
          <t>Replace with actual encryption; obfuscation is not a substitute</t>
        </is>
      </c>
    </row>
    <row r="14" ht="60" customHeight="1">
      <c r="A14" s="2" t="n">
        <v>13</v>
      </c>
      <c r="B14" s="3" t="inlineStr">
        <is>
          <t>Non-hybrid, PQC-only signing/KEM deployed without a classical fallback</t>
        </is>
      </c>
      <c r="C14" s="3" t="inlineStr">
        <is>
          <t>Post-Quantum Readiness</t>
        </is>
      </c>
      <c r="D14" s="3" t="inlineStr">
        <is>
          <t>N/A (emerging risk class)</t>
        </is>
      </c>
      <c r="E14" s="3" t="inlineStr">
        <is>
          <t>A pure post-quantum deployment during the transition period leaves no fallback if a PQC algorithm is later broken or found flawed (as happened to SIKE in 2022).</t>
        </is>
      </c>
      <c r="F14" s="3" t="inlineStr">
        <is>
          <t>SIKE (a NIST Round-4 PQC candidate) was broken by a classical attack in 2022 after years of standardization review</t>
        </is>
      </c>
      <c r="G14" s="3" t="inlineStr">
        <is>
          <t>NIST IR 8547 (transition guidance recommends hybrid deployment)</t>
        </is>
      </c>
      <c r="H14" s="7" t="inlineStr">
        <is>
          <t>Medium</t>
        </is>
      </c>
      <c r="I14" s="7" t="inlineStr">
        <is>
          <t>Partial</t>
        </is>
      </c>
      <c r="J14" s="3" t="inlineStr">
        <is>
          <t>Deploy hybrid classical+PQC (e.g. X25519+ML-KEM-768) during the transition window</t>
        </is>
      </c>
    </row>
    <row r="15" ht="60" customHeight="1">
      <c r="A15" s="2" t="n">
        <v>14</v>
      </c>
      <c r="B15" s="3" t="inlineStr">
        <is>
          <t>Legacy protocol downgrade to SSLv2/SSLv3 permitted</t>
        </is>
      </c>
      <c r="C15" s="3" t="inlineStr">
        <is>
          <t>Weak Algorithm / Protocol</t>
        </is>
      </c>
      <c r="D15" s="3" t="inlineStr">
        <is>
          <t>CWE-327</t>
        </is>
      </c>
      <c r="E15" s="3" t="inlineStr">
        <is>
          <t>Allows an active attacker to force a connection down to a broken protocol version before exploiting it.</t>
        </is>
      </c>
      <c r="F15" s="3" t="inlineStr">
        <is>
          <t>DROWN cross-protocol attack, CVE-2016-0800</t>
        </is>
      </c>
      <c r="G15" s="3" t="inlineStr">
        <is>
          <t>CWE-327; NIST SP 800-52 Rev.2</t>
        </is>
      </c>
      <c r="H15" s="4" t="inlineStr">
        <is>
          <t>Critical</t>
        </is>
      </c>
      <c r="I15" s="7" t="inlineStr">
        <is>
          <t>Partial</t>
        </is>
      </c>
      <c r="J15" s="3" t="inlineStr">
        <is>
          <t>Disable SSLv2/SSLv3 entirely; ECDAT's TLS/config scanner flags legacy protocol strings but does not perform live downgrade testing</t>
        </is>
      </c>
    </row>
    <row r="16" ht="60" customHeight="1">
      <c r="A16" s="2" t="n">
        <v>15</v>
      </c>
      <c r="B16" s="3" t="inlineStr">
        <is>
          <t>Hard-coded cryptographic key in source code</t>
        </is>
      </c>
      <c r="C16" s="3" t="inlineStr">
        <is>
          <t>Key Management</t>
        </is>
      </c>
      <c r="D16" s="3" t="inlineStr">
        <is>
          <t>CWE-321</t>
        </is>
      </c>
      <c r="E16" s="3" t="inlineStr">
        <is>
          <t>A key embedded in source or binary is visible to anyone with code or decompiled-binary access, including in version-control history.</t>
        </is>
      </c>
      <c r="F16" s="3" t="inlineStr">
        <is>
          <t>Extremely common CWE Top 25 finding across static-analysis reports</t>
        </is>
      </c>
      <c r="G16" s="3" t="inlineStr">
        <is>
          <t>CWE-321</t>
        </is>
      </c>
      <c r="H16" s="4" t="inlineStr">
        <is>
          <t>Critical</t>
        </is>
      </c>
      <c r="I16" s="5" t="inlineStr">
        <is>
          <t>Yes</t>
        </is>
      </c>
      <c r="J16" s="3" t="inlineStr">
        <is>
          <t>Load keys from a secrets manager or HSM at runtime</t>
        </is>
      </c>
    </row>
    <row r="17" ht="60" customHeight="1">
      <c r="A17" s="2" t="n">
        <v>16</v>
      </c>
      <c r="B17" s="3" t="inlineStr">
        <is>
          <t>Hard-coded credentials / API secret</t>
        </is>
      </c>
      <c r="C17" s="3" t="inlineStr">
        <is>
          <t>Key Management</t>
        </is>
      </c>
      <c r="D17" s="3" t="inlineStr">
        <is>
          <t>CWE-798</t>
        </is>
      </c>
      <c r="E17" s="3" t="inlineStr">
        <is>
          <t>Same exposure risk as CWE-321, applied to passwords, API tokens, and service-account secrets.</t>
        </is>
      </c>
      <c r="F17" s="3" t="inlineStr">
        <is>
          <t>2021 GitGuardian State of Secrets Sprawl report found millions of hard-coded secrets in public repos</t>
        </is>
      </c>
      <c r="G17" s="3" t="inlineStr">
        <is>
          <t>CWE-798</t>
        </is>
      </c>
      <c r="H17" s="4" t="inlineStr">
        <is>
          <t>Critical</t>
        </is>
      </c>
      <c r="I17" s="5" t="inlineStr">
        <is>
          <t>Yes</t>
        </is>
      </c>
      <c r="J17" s="3" t="inlineStr">
        <is>
          <t>Use environment-injected secrets or a vault</t>
        </is>
      </c>
    </row>
    <row r="18" ht="60" customHeight="1">
      <c r="A18" s="2" t="n">
        <v>17</v>
      </c>
      <c r="B18" s="3" t="inlineStr">
        <is>
          <t>Cryptographic key committed to a source-code repository</t>
        </is>
      </c>
      <c r="C18" s="3" t="inlineStr">
        <is>
          <t>Key Management</t>
        </is>
      </c>
      <c r="D18" s="3" t="inlineStr">
        <is>
          <t>CWE-798 / CWE-312</t>
        </is>
      </c>
      <c r="E18" s="3" t="inlineStr">
        <is>
          <t>Once pushed, a key persists in git history even after later removal from the working tree.</t>
        </is>
      </c>
      <c r="F18" s="3" t="inlineStr">
        <is>
          <t>OWASP Top 10:2025 A04 explicitly lists this as a common root cause</t>
        </is>
      </c>
      <c r="G18" s="3" t="inlineStr">
        <is>
          <t>OWASP Top 10:2025, A04:2025 Cryptographic Failures</t>
        </is>
      </c>
      <c r="H18" s="4" t="inlineStr">
        <is>
          <t>Critical</t>
        </is>
      </c>
      <c r="I18" s="5" t="inlineStr">
        <is>
          <t>Yes</t>
        </is>
      </c>
      <c r="J18" s="3" t="inlineStr">
        <is>
          <t>Rotate immediately if exposed; scrub git history; use a secrets manager</t>
        </is>
      </c>
    </row>
    <row r="19" ht="60" customHeight="1">
      <c r="A19" s="2" t="n">
        <v>18</v>
      </c>
      <c r="B19" s="3" t="inlineStr">
        <is>
          <t>Same key reused across encryption and signing purposes</t>
        </is>
      </c>
      <c r="C19" s="3" t="inlineStr">
        <is>
          <t>Key Management</t>
        </is>
      </c>
      <c r="D19" s="3" t="inlineStr">
        <is>
          <t>CWE-323 (related)</t>
        </is>
      </c>
      <c r="E19" s="3" t="inlineStr">
        <is>
          <t>Using one key for multiple cryptographic purposes can leak information across contexts and violates key-separation best practice.</t>
        </is>
      </c>
      <c r="F19" s="3" t="inlineStr">
        <is>
          <t>NIST SP 800-57 Part 1, Section 5.2 (key usage separation)</t>
        </is>
      </c>
      <c r="G19" s="3" t="inlineStr">
        <is>
          <t>NIST SP 800-57 Part 1 Rev.5</t>
        </is>
      </c>
      <c r="H19" s="7" t="inlineStr">
        <is>
          <t>Medium</t>
        </is>
      </c>
      <c r="I19" s="7" t="inlineStr">
        <is>
          <t>Partial</t>
        </is>
      </c>
      <c r="J19" s="3" t="inlineStr">
        <is>
          <t>Derive purpose-specific keys via HKDF from a single master secret</t>
        </is>
      </c>
    </row>
    <row r="20" ht="60" customHeight="1">
      <c r="A20" s="2" t="n">
        <v>19</v>
      </c>
      <c r="B20" s="3" t="inlineStr">
        <is>
          <t>Nonce or IV reused with the same key</t>
        </is>
      </c>
      <c r="C20" s="3" t="inlineStr">
        <is>
          <t>Key Management</t>
        </is>
      </c>
      <c r="D20" s="3" t="inlineStr">
        <is>
          <t>CWE-323 / CWE-1204</t>
        </is>
      </c>
      <c r="E20" s="3" t="inlineStr">
        <is>
          <t>For AES-GCM specifically, nonce reuse catastrophically leaks the authentication key and allows forgery.</t>
        </is>
      </c>
      <c r="F20" s="3" t="inlineStr">
        <is>
          <t>2016 'Nonce-Disrespecting Adversaries' research catalogued real nonce-reuse in production TLS/IPsec stacks</t>
        </is>
      </c>
      <c r="G20" s="3" t="inlineStr">
        <is>
          <t>CWE-1204; CWE-323</t>
        </is>
      </c>
      <c r="H20" s="4" t="inlineStr">
        <is>
          <t>Critical</t>
        </is>
      </c>
      <c r="I20" s="5" t="inlineStr">
        <is>
          <t>Yes</t>
        </is>
      </c>
      <c r="J20" s="3" t="inlineStr">
        <is>
          <t>Use a CSPRNG or counter-based unique nonce per encryption operation</t>
        </is>
      </c>
    </row>
    <row r="21" ht="60" customHeight="1">
      <c r="A21" s="2" t="n">
        <v>20</v>
      </c>
      <c r="B21" s="3" t="inlineStr">
        <is>
          <t>Use of a cryptographic key past its expiration date</t>
        </is>
      </c>
      <c r="C21" s="3" t="inlineStr">
        <is>
          <t>Key Management</t>
        </is>
      </c>
      <c r="D21" s="3" t="inlineStr">
        <is>
          <t>CWE-324</t>
        </is>
      </c>
      <c r="E21" s="3" t="inlineStr">
        <is>
          <t>Continuing to trust a key after its defined validity period undermines the entire key-rotation security model.</t>
        </is>
      </c>
      <c r="F21" s="3" t="inlineStr">
        <is>
          <t>CWE-324 Observed Examples</t>
        </is>
      </c>
      <c r="G21" s="3" t="inlineStr">
        <is>
          <t>CWE-324</t>
        </is>
      </c>
      <c r="H21" s="7" t="inlineStr">
        <is>
          <t>Medium</t>
        </is>
      </c>
      <c r="I21" s="5" t="inlineStr">
        <is>
          <t>Yes</t>
        </is>
      </c>
      <c r="J21" s="3" t="inlineStr">
        <is>
          <t>Enforce key/certificate expiry checks in the verification path</t>
        </is>
      </c>
    </row>
    <row r="22" ht="60" customHeight="1">
      <c r="A22" s="2" t="n">
        <v>21</v>
      </c>
      <c r="B22" s="3" t="inlineStr">
        <is>
          <t>No key-rotation policy / indefinite key lifetime</t>
        </is>
      </c>
      <c r="C22" s="3" t="inlineStr">
        <is>
          <t>Key Management</t>
        </is>
      </c>
      <c r="D22" s="3" t="inlineStr">
        <is>
          <t>N/A (NIST guidance)</t>
        </is>
      </c>
      <c r="E22" s="3" t="inlineStr">
        <is>
          <t>Long-lived keys increase the blast radius of any future compromise and the volume of data exposed under Harvest-Now-Decrypt-Later.</t>
        </is>
      </c>
      <c r="F22" s="3" t="inlineStr">
        <is>
          <t>OWASP Top 10:2025 A04 lists 'no key rotation' as a top root cause</t>
        </is>
      </c>
      <c r="G22" s="3" t="inlineStr">
        <is>
          <t>OWASP A04:2025; NIST SP 800-57 Part 1 Rev.5 (cryptoperiod guidance)</t>
        </is>
      </c>
      <c r="H22" s="7" t="inlineStr">
        <is>
          <t>Medium</t>
        </is>
      </c>
      <c r="I22" s="5" t="inlineStr">
        <is>
          <t>Yes</t>
        </is>
      </c>
      <c r="J22" s="3" t="inlineStr">
        <is>
          <t>Define and enforce a cryptoperiod per NIST SP 800-57 Part 1 tables</t>
        </is>
      </c>
    </row>
    <row r="23" ht="60" customHeight="1">
      <c r="A23" s="2" t="n">
        <v>22</v>
      </c>
      <c r="B23" s="3" t="inlineStr">
        <is>
          <t>Insecure key storage (plaintext on disk / unencrypted keystore)</t>
        </is>
      </c>
      <c r="C23" s="3" t="inlineStr">
        <is>
          <t>Key Management</t>
        </is>
      </c>
      <c r="D23" s="3" t="inlineStr">
        <is>
          <t>CWE-312 (related)</t>
        </is>
      </c>
      <c r="E23" s="3" t="inlineStr">
        <is>
          <t>A key readable by anyone with filesystem access provides no protection beyond obscurity.</t>
        </is>
      </c>
      <c r="F23" s="3" t="inlineStr">
        <is>
          <t>OWASP Cryptographic Storage Cheat Sheet</t>
        </is>
      </c>
      <c r="G23" s="3" t="inlineStr">
        <is>
          <t>OWASP Cryptographic Storage Cheat Sheet</t>
        </is>
      </c>
      <c r="H23" s="4" t="inlineStr">
        <is>
          <t>Critical</t>
        </is>
      </c>
      <c r="I23" s="5" t="inlineStr">
        <is>
          <t>Yes</t>
        </is>
      </c>
      <c r="J23" s="3" t="inlineStr">
        <is>
          <t>Store keys in an HSM, KMS, or OS-level secure enclave</t>
        </is>
      </c>
    </row>
    <row r="24" ht="60" customHeight="1">
      <c r="A24" s="2" t="n">
        <v>23</v>
      </c>
      <c r="B24" s="3" t="inlineStr">
        <is>
          <t>No Hardware Security Module for high-value key custody</t>
        </is>
      </c>
      <c r="C24" s="3" t="inlineStr">
        <is>
          <t>Key Management</t>
        </is>
      </c>
      <c r="D24" s="3" t="inlineStr">
        <is>
          <t>N/A (NIST guidance)</t>
        </is>
      </c>
      <c r="E24" s="3" t="inlineStr">
        <is>
          <t>Software-only key storage for root/CA-level keys lacks tamper-resistance guarantees an HSM provides.</t>
        </is>
      </c>
      <c r="F24" s="3" t="inlineStr">
        <is>
          <t>FIPS 140-3 defines HSM assurance levels for exactly this scenario</t>
        </is>
      </c>
      <c r="G24" s="3" t="inlineStr">
        <is>
          <t>FIPS 140-3; NIST SP 800-57 Part 1</t>
        </is>
      </c>
      <c r="H24" s="7" t="inlineStr">
        <is>
          <t>Medium</t>
        </is>
      </c>
      <c r="I24" s="8" t="inlineStr">
        <is>
          <t>No</t>
        </is>
      </c>
      <c r="J24" s="3" t="inlineStr">
        <is>
          <t>Use a FIPS 140-3 validated HSM for root and signing keys</t>
        </is>
      </c>
    </row>
    <row r="25" ht="60" customHeight="1">
      <c r="A25" s="2" t="n">
        <v>24</v>
      </c>
      <c r="B25" s="3" t="inlineStr">
        <is>
          <t>Key exchange performed without entity authentication</t>
        </is>
      </c>
      <c r="C25" s="3" t="inlineStr">
        <is>
          <t>Key Management</t>
        </is>
      </c>
      <c r="D25" s="3" t="inlineStr">
        <is>
          <t>CWE-322</t>
        </is>
      </c>
      <c r="E25" s="3" t="inlineStr">
        <is>
          <t>An unauthenticated Diffie-Hellman exchange is trivially subject to a man-in-the-middle attack.</t>
        </is>
      </c>
      <c r="F25" s="3" t="inlineStr">
        <is>
          <t>CWE-322 Description</t>
        </is>
      </c>
      <c r="G25" s="3" t="inlineStr">
        <is>
          <t>CWE-322</t>
        </is>
      </c>
      <c r="H25" s="6" t="inlineStr">
        <is>
          <t>High</t>
        </is>
      </c>
      <c r="I25" s="8" t="inlineStr">
        <is>
          <t>No</t>
        </is>
      </c>
      <c r="J25" s="3" t="inlineStr">
        <is>
          <t>Bind key exchange to an authenticated identity (certificate or PSK)</t>
        </is>
      </c>
    </row>
    <row r="26" ht="60" customHeight="1">
      <c r="A26" s="2" t="n">
        <v>25</v>
      </c>
      <c r="B26" s="3" t="inlineStr">
        <is>
          <t>Weak key-derivation function (single unsalted hash iteration as KDF)</t>
        </is>
      </c>
      <c r="C26" s="3" t="inlineStr">
        <is>
          <t>Key Management</t>
        </is>
      </c>
      <c r="D26" s="3" t="inlineStr">
        <is>
          <t>CWE-916</t>
        </is>
      </c>
      <c r="E26" s="3" t="inlineStr">
        <is>
          <t>Fast, single-pass hashing as a KDF allows GPU/ASIC-accelerated brute force of the derived key.</t>
        </is>
      </c>
      <c r="F26" s="3" t="inlineStr">
        <is>
          <t>LinkedIn's 2012 unsalted-SHA1 password breach (117M accounts)</t>
        </is>
      </c>
      <c r="G26" s="3" t="inlineStr">
        <is>
          <t>CWE-916</t>
        </is>
      </c>
      <c r="H26" s="6" t="inlineStr">
        <is>
          <t>High</t>
        </is>
      </c>
      <c r="I26" s="5" t="inlineStr">
        <is>
          <t>Yes</t>
        </is>
      </c>
      <c r="J26" s="3" t="inlineStr">
        <is>
          <t>Use Argon2id, scrypt, or PBKDF2 with a high work factor</t>
        </is>
      </c>
    </row>
    <row r="27" ht="60" customHeight="1">
      <c r="A27" s="2" t="n">
        <v>26</v>
      </c>
      <c r="B27" s="3" t="inlineStr">
        <is>
          <t>Static or hard-coded salt for password hashing</t>
        </is>
      </c>
      <c r="C27" s="3" t="inlineStr">
        <is>
          <t>Key Management</t>
        </is>
      </c>
      <c r="D27" s="3" t="inlineStr">
        <is>
          <t>CWE-759 (related)</t>
        </is>
      </c>
      <c r="E27" s="3" t="inlineStr">
        <is>
          <t>A fixed salt defeats the purpose of salting: precomputed rainbow tables become viable again across all users.</t>
        </is>
      </c>
      <c r="F27" s="3" t="inlineStr">
        <is>
          <t>OWASP Password Storage Cheat Sheet</t>
        </is>
      </c>
      <c r="G27" s="3" t="inlineStr">
        <is>
          <t>OWASP Password Storage Cheat Sheet</t>
        </is>
      </c>
      <c r="H27" s="6" t="inlineStr">
        <is>
          <t>High</t>
        </is>
      </c>
      <c r="I27" s="7" t="inlineStr">
        <is>
          <t>Partial</t>
        </is>
      </c>
      <c r="J27" s="3" t="inlineStr">
        <is>
          <t>Generate a unique random salt per password</t>
        </is>
      </c>
    </row>
    <row r="28" ht="60" customHeight="1">
      <c r="A28" s="2" t="n">
        <v>27</v>
      </c>
      <c r="B28" s="3" t="inlineStr">
        <is>
          <t>Insufficient PBKDF2/Bcrypt work-factor (iteration count too low)</t>
        </is>
      </c>
      <c r="C28" s="3" t="inlineStr">
        <is>
          <t>Key Management</t>
        </is>
      </c>
      <c r="D28" s="3" t="inlineStr">
        <is>
          <t>CWE-916</t>
        </is>
      </c>
      <c r="E28" s="3" t="inlineStr">
        <is>
          <t>A low iteration count makes offline brute-force attacks against leaked hashes economically viable.</t>
        </is>
      </c>
      <c r="F28" s="3" t="inlineStr">
        <is>
          <t>OWASP recommends PBKDF2-HMAC-SHA256 at 600,000+ iterations (2023 guidance)</t>
        </is>
      </c>
      <c r="G28" s="3" t="inlineStr">
        <is>
          <t>OWASP Password Storage Cheat Sheet</t>
        </is>
      </c>
      <c r="H28" s="7" t="inlineStr">
        <is>
          <t>Medium</t>
        </is>
      </c>
      <c r="I28" s="7" t="inlineStr">
        <is>
          <t>Partial</t>
        </is>
      </c>
      <c r="J28" s="3" t="inlineStr">
        <is>
          <t>Raise the work factor to current OWASP-recommended minimums</t>
        </is>
      </c>
    </row>
    <row r="29" ht="60" customHeight="1">
      <c r="A29" s="2" t="n">
        <v>28</v>
      </c>
      <c r="B29" s="3" t="inlineStr">
        <is>
          <t>No key-escrow / recovery process for critical keys</t>
        </is>
      </c>
      <c r="C29" s="3" t="inlineStr">
        <is>
          <t>Key Management</t>
        </is>
      </c>
      <c r="D29" s="3" t="inlineStr">
        <is>
          <t>N/A (NIST guidance)</t>
        </is>
      </c>
      <c r="E29" s="3" t="inlineStr">
        <is>
          <t>Losing the only copy of a key that protects data at rest causes permanent, catastrophic data loss.</t>
        </is>
      </c>
      <c r="F29" s="3" t="inlineStr">
        <is>
          <t>NIST SP 800-57 Part 2 (key recovery guidance)</t>
        </is>
      </c>
      <c r="G29" s="3" t="inlineStr">
        <is>
          <t>NIST SP 800-57 Part 2 Rev.1</t>
        </is>
      </c>
      <c r="H29" s="7" t="inlineStr">
        <is>
          <t>Medium</t>
        </is>
      </c>
      <c r="I29" s="8" t="inlineStr">
        <is>
          <t>No</t>
        </is>
      </c>
      <c r="J29" s="3" t="inlineStr">
        <is>
          <t>Implement a documented, access-controlled key-recovery process</t>
        </is>
      </c>
    </row>
    <row r="30" ht="60" customHeight="1">
      <c r="A30" s="2" t="n">
        <v>29</v>
      </c>
      <c r="B30" s="3" t="inlineStr">
        <is>
          <t>Single shared root/master key reused across many services (no key hierarchy)</t>
        </is>
      </c>
      <c r="C30" s="3" t="inlineStr">
        <is>
          <t>Key Management</t>
        </is>
      </c>
      <c r="D30" s="3" t="inlineStr">
        <is>
          <t>N/A (architectural pattern)</t>
        </is>
      </c>
      <c r="E30" s="3" t="inlineStr">
        <is>
          <t>One compromised key exposes every downstream service that trusts it — a 'superspreader' in blast-radius terms.</t>
        </is>
      </c>
      <c r="F30" s="3" t="inlineStr">
        <is>
          <t>Modeled directly by ECDAT's R0 contagion graph (superspreader threshold R0≥2)</t>
        </is>
      </c>
      <c r="G30" s="3" t="inlineStr">
        <is>
          <t>NIST SP 800-57 Part 1 (key hierarchy guidance)</t>
        </is>
      </c>
      <c r="H30" s="4" t="inlineStr">
        <is>
          <t>Critical</t>
        </is>
      </c>
      <c r="I30" s="5" t="inlineStr">
        <is>
          <t>Yes</t>
        </is>
      </c>
      <c r="J30" s="3" t="inlineStr">
        <is>
          <t>Derive per-service subkeys from a root via HKDF; ECDAT's contagion/blast-radius engine is built specifically for this class</t>
        </is>
      </c>
    </row>
    <row r="31" ht="60" customHeight="1">
      <c r="A31" s="2" t="n">
        <v>30</v>
      </c>
      <c r="B31" s="3" t="inlineStr">
        <is>
          <t>Insufficient entropy at random-value generation</t>
        </is>
      </c>
      <c r="C31" s="3" t="inlineStr">
        <is>
          <t>Randomness</t>
        </is>
      </c>
      <c r="D31" s="3" t="inlineStr">
        <is>
          <t>CWE-331</t>
        </is>
      </c>
      <c r="E31" s="3" t="inlineStr">
        <is>
          <t>Low-entropy sources (e.g. boot-time-only seeding on embedded devices) make generated values guessable.</t>
        </is>
      </c>
      <c r="F31" s="3" t="inlineStr">
        <is>
          <t>2012 'Mining Your Ps and Qs' study found ~0.75% of TLS hosts shared RSA keys due to embedded-device entropy failures</t>
        </is>
      </c>
      <c r="G31" s="3" t="inlineStr">
        <is>
          <t>CWE-331</t>
        </is>
      </c>
      <c r="H31" s="6" t="inlineStr">
        <is>
          <t>High</t>
        </is>
      </c>
      <c r="I31" s="7" t="inlineStr">
        <is>
          <t>Partial</t>
        </is>
      </c>
      <c r="J31" s="3" t="inlineStr">
        <is>
          <t>Use an OS-provided CSPRNG with verified entropy sources</t>
        </is>
      </c>
    </row>
    <row r="32" ht="60" customHeight="1">
      <c r="A32" s="2" t="n">
        <v>31</v>
      </c>
      <c r="B32" s="3" t="inlineStr">
        <is>
          <t>Small space of random values (predictable range)</t>
        </is>
      </c>
      <c r="C32" s="3" t="inlineStr">
        <is>
          <t>Randomness</t>
        </is>
      </c>
      <c r="D32" s="3" t="inlineStr">
        <is>
          <t>CWE-334</t>
        </is>
      </c>
      <c r="E32" s="3" t="inlineStr">
        <is>
          <t>A random value drawn from too small a range is brute-forceable regardless of the generator's quality.</t>
        </is>
      </c>
      <c r="F32" s="3" t="inlineStr">
        <is>
          <t>CWE-334 Description</t>
        </is>
      </c>
      <c r="G32" s="3" t="inlineStr">
        <is>
          <t>CWE-334</t>
        </is>
      </c>
      <c r="H32" s="7" t="inlineStr">
        <is>
          <t>Medium</t>
        </is>
      </c>
      <c r="I32" s="7" t="inlineStr">
        <is>
          <t>Partial</t>
        </is>
      </c>
      <c r="J32" s="3" t="inlineStr">
        <is>
          <t>Widen the value space to match the security margin required</t>
        </is>
      </c>
    </row>
    <row r="33" ht="60" customHeight="1">
      <c r="A33" s="2" t="n">
        <v>32</v>
      </c>
      <c r="B33" s="3" t="inlineStr">
        <is>
          <t>Incorrect seeding of a PRNG (e.g. seeding with system time)</t>
        </is>
      </c>
      <c r="C33" s="3" t="inlineStr">
        <is>
          <t>Randomness</t>
        </is>
      </c>
      <c r="D33" s="3" t="inlineStr">
        <is>
          <t>CWE-335</t>
        </is>
      </c>
      <c r="E33" s="3" t="inlineStr">
        <is>
          <t>Time-based seeds are guessable within a narrow window, collapsing the effective keyspace.</t>
        </is>
      </c>
      <c r="F33" s="3" t="inlineStr">
        <is>
          <t>Debian OpenSSL PRNG flaw, CVE-2008-0166 (patch reduced entropy to 15 bits for two years)</t>
        </is>
      </c>
      <c r="G33" s="3" t="inlineStr">
        <is>
          <t>CWE-335; CVE-2008-0166</t>
        </is>
      </c>
      <c r="H33" s="4" t="inlineStr">
        <is>
          <t>Critical</t>
        </is>
      </c>
      <c r="I33" s="7" t="inlineStr">
        <is>
          <t>Partial</t>
        </is>
      </c>
      <c r="J33" s="3" t="inlineStr">
        <is>
          <t>Seed exclusively from a CSPRNG (os.urandom / SecureRandom)</t>
        </is>
      </c>
    </row>
    <row r="34" ht="60" customHeight="1">
      <c r="A34" s="2" t="n">
        <v>33</v>
      </c>
      <c r="B34" s="3" t="inlineStr">
        <is>
          <t>Use of a cryptographically weak PRNG (java.util.Random, Math.random, rand())</t>
        </is>
      </c>
      <c r="C34" s="3" t="inlineStr">
        <is>
          <t>Randomness</t>
        </is>
      </c>
      <c r="D34" s="3" t="inlineStr">
        <is>
          <t>CWE-338</t>
        </is>
      </c>
      <c r="E34" s="3" t="inlineStr">
        <is>
          <t>Non-cryptographic PRNGs are statistically predictable and unsuitable for keys, tokens, or nonces.</t>
        </is>
      </c>
      <c r="F34" s="3" t="inlineStr">
        <is>
          <t>CWE-338 is a CWE Top 25 recurring entry</t>
        </is>
      </c>
      <c r="G34" s="3" t="inlineStr">
        <is>
          <t>CWE-338</t>
        </is>
      </c>
      <c r="H34" s="6" t="inlineStr">
        <is>
          <t>High</t>
        </is>
      </c>
      <c r="I34" s="5" t="inlineStr">
        <is>
          <t>Yes</t>
        </is>
      </c>
      <c r="J34" s="3" t="inlineStr">
        <is>
          <t>Use SecureRandom (Java), secrets module (Python), or crypto.getRandomValues (JS)</t>
        </is>
      </c>
    </row>
    <row r="35" ht="60" customHeight="1">
      <c r="A35" s="2" t="n">
        <v>34</v>
      </c>
      <c r="B35" s="3" t="inlineStr">
        <is>
          <t>Predictable initialization vector (IV) generation</t>
        </is>
      </c>
      <c r="C35" s="3" t="inlineStr">
        <is>
          <t>Randomness</t>
        </is>
      </c>
      <c r="D35" s="3" t="inlineStr">
        <is>
          <t>CWE-1204</t>
        </is>
      </c>
      <c r="E35" s="3" t="inlineStr">
        <is>
          <t>A predictable IV undermines the semantic security guarantees of CBC and GCM modes.</t>
        </is>
      </c>
      <c r="F35" s="3" t="inlineStr">
        <is>
          <t>CWE-1204 Description</t>
        </is>
      </c>
      <c r="G35" s="3" t="inlineStr">
        <is>
          <t>CWE-1204</t>
        </is>
      </c>
      <c r="H35" s="6" t="inlineStr">
        <is>
          <t>High</t>
        </is>
      </c>
      <c r="I35" s="5" t="inlineStr">
        <is>
          <t>Yes</t>
        </is>
      </c>
      <c r="J35" s="3" t="inlineStr">
        <is>
          <t>Generate a fresh random IV per encryption operation</t>
        </is>
      </c>
    </row>
    <row r="36" ht="60" customHeight="1">
      <c r="A36" s="2" t="n">
        <v>35</v>
      </c>
      <c r="B36" s="3" t="inlineStr">
        <is>
          <t>Weak on-device RNG in embedded/smartcard hardware</t>
        </is>
      </c>
      <c r="C36" s="3" t="inlineStr">
        <is>
          <t>Randomness</t>
        </is>
      </c>
      <c r="D36" s="3" t="inlineStr">
        <is>
          <t>CWE-338 (hardware)</t>
        </is>
      </c>
      <c r="E36" s="3" t="inlineStr">
        <is>
          <t>Flawed hardware RNGs generate keys with insufficient pairwise independence, enabling batch factoring.</t>
        </is>
      </c>
      <c r="F36" s="3" t="inlineStr">
        <is>
          <t>ROCA vulnerability, CVE-2017-15361 (Infineon RSA library, ~1M weak keys)</t>
        </is>
      </c>
      <c r="G36" s="3" t="inlineStr">
        <is>
          <t>CVE-2017-15361; Nemec et al., 'The Return of Coppersmith's Attack' (CCS 2017)</t>
        </is>
      </c>
      <c r="H36" s="4" t="inlineStr">
        <is>
          <t>Critical</t>
        </is>
      </c>
      <c r="I36" s="8" t="inlineStr">
        <is>
          <t>No</t>
        </is>
      </c>
      <c r="J36" s="3" t="inlineStr">
        <is>
          <t>Replace affected hardware RNG/library; re-issue affected keys</t>
        </is>
      </c>
    </row>
    <row r="37" ht="60" customHeight="1">
      <c r="A37" s="2" t="n">
        <v>36</v>
      </c>
      <c r="B37" s="3" t="inlineStr">
        <is>
          <t>Reused per-message nonce in a signature scheme (DSA/ECDSA)</t>
        </is>
      </c>
      <c r="C37" s="3" t="inlineStr">
        <is>
          <t>Randomness</t>
        </is>
      </c>
      <c r="D37" s="3" t="inlineStr">
        <is>
          <t>CWE-323 (related)</t>
        </is>
      </c>
      <c r="E37" s="3" t="inlineStr">
        <is>
          <t>Reusing the ephemeral nonce k across two ECDSA signatures directly leaks the private signing key via simple algebra.</t>
        </is>
      </c>
      <c r="F37" s="3" t="inlineStr">
        <is>
          <t>Sony PlayStation 3 ECDSA private key recovery (2010, fail0verflow/geohot) due to a static nonce</t>
        </is>
      </c>
      <c r="G37" s="3" t="inlineStr">
        <is>
          <t>CWE-323; public 2010 disclosure (fail0verflow, 27C3)</t>
        </is>
      </c>
      <c r="H37" s="4" t="inlineStr">
        <is>
          <t>Critical</t>
        </is>
      </c>
      <c r="I37" s="7" t="inlineStr">
        <is>
          <t>Partial</t>
        </is>
      </c>
      <c r="J37" s="3" t="inlineStr">
        <is>
          <t>Use deterministic nonce generation per RFC 6979 or a verified CSPRNG</t>
        </is>
      </c>
    </row>
    <row r="38" ht="60" customHeight="1">
      <c r="A38" s="2" t="n">
        <v>37</v>
      </c>
      <c r="B38" s="3" t="inlineStr">
        <is>
          <t>Client-side-only randomness for security tokens (Math.random in JS)</t>
        </is>
      </c>
      <c r="C38" s="3" t="inlineStr">
        <is>
          <t>Randomness</t>
        </is>
      </c>
      <c r="D38" s="3" t="inlineStr">
        <is>
          <t>CWE-338</t>
        </is>
      </c>
      <c r="E38" s="3" t="inlineStr">
        <is>
          <t>Browser Math.random() is not cryptographically secure and has been shown to be predictable from limited samples.</t>
        </is>
      </c>
      <c r="F38" s="3" t="inlineStr">
        <is>
          <t>CWE-338; multiple real CTF/pentest write-ups demonstrating Math.random() seed recovery</t>
        </is>
      </c>
      <c r="G38" s="3" t="inlineStr">
        <is>
          <t>CWE-338</t>
        </is>
      </c>
      <c r="H38" s="7" t="inlineStr">
        <is>
          <t>Medium</t>
        </is>
      </c>
      <c r="I38" s="5" t="inlineStr">
        <is>
          <t>Yes</t>
        </is>
      </c>
      <c r="J38" s="3" t="inlineStr">
        <is>
          <t>Use window.crypto.getRandomValues() for any security-relevant value</t>
        </is>
      </c>
    </row>
    <row r="39" ht="60" customHeight="1">
      <c r="A39" s="2" t="n">
        <v>38</v>
      </c>
      <c r="B39" s="3" t="inlineStr">
        <is>
          <t>Fixed 'random' test seed left active in production code</t>
        </is>
      </c>
      <c r="C39" s="3" t="inlineStr">
        <is>
          <t>Randomness</t>
        </is>
      </c>
      <c r="D39" s="3" t="inlineStr">
        <is>
          <t>CWE-335</t>
        </is>
      </c>
      <c r="E39" s="3" t="inlineStr">
        <is>
          <t>A deterministic seed left over from testing makes every 'random' value in production fully predictable.</t>
        </is>
      </c>
      <c r="F39" s="3" t="inlineStr">
        <is>
          <t>CWE-335 Description</t>
        </is>
      </c>
      <c r="G39" s="3" t="inlineStr">
        <is>
          <t>CWE-335</t>
        </is>
      </c>
      <c r="H39" s="6" t="inlineStr">
        <is>
          <t>High</t>
        </is>
      </c>
      <c r="I39" s="7" t="inlineStr">
        <is>
          <t>Partial</t>
        </is>
      </c>
      <c r="J39" s="3" t="inlineStr">
        <is>
          <t>Remove fixed seeds before deployment; gate them behind a test-only build flag</t>
        </is>
      </c>
    </row>
    <row r="40" ht="60" customHeight="1">
      <c r="A40" s="2" t="n">
        <v>39</v>
      </c>
      <c r="B40" s="3" t="inlineStr">
        <is>
          <t>Improper certificate validation (accept-all TrustManager / verify=False)</t>
        </is>
      </c>
      <c r="C40" s="3" t="inlineStr">
        <is>
          <t>Certificate &amp; Trust</t>
        </is>
      </c>
      <c r="D40" s="3" t="inlineStr">
        <is>
          <t>CWE-295</t>
        </is>
      </c>
      <c r="E40" s="3" t="inlineStr">
        <is>
          <t>Disabling certificate checks removes TLS's core protection against man-in-the-middle attacks.</t>
        </is>
      </c>
      <c r="F40" s="3" t="inlineStr">
        <is>
          <t>CWE-295 is consistently in the CWE Top 25 Most Dangerous Software Weaknesses</t>
        </is>
      </c>
      <c r="G40" s="3" t="inlineStr">
        <is>
          <t>CWE-295; CWE Top 25</t>
        </is>
      </c>
      <c r="H40" s="4" t="inlineStr">
        <is>
          <t>Critical</t>
        </is>
      </c>
      <c r="I40" s="7" t="inlineStr">
        <is>
          <t>Partial</t>
        </is>
      </c>
      <c r="J40" s="3" t="inlineStr">
        <is>
          <t>Never disable certificate validation in production; ECDAT's DSIS classifier can flag literal verify=False / trust-all patterns, but confirming the surrounding logic requires manual review</t>
        </is>
      </c>
    </row>
    <row r="41" ht="60" customHeight="1">
      <c r="A41" s="2" t="n">
        <v>40</v>
      </c>
      <c r="B41" s="3" t="inlineStr">
        <is>
          <t>Improper hostname verification</t>
        </is>
      </c>
      <c r="C41" s="3" t="inlineStr">
        <is>
          <t>Certificate &amp; Trust</t>
        </is>
      </c>
      <c r="D41" s="3" t="inlineStr">
        <is>
          <t>CWE-297</t>
        </is>
      </c>
      <c r="E41" s="3" t="inlineStr">
        <is>
          <t>Accepting any certificate regardless of the hostname it was issued for defeats the purpose of the PKI check.</t>
        </is>
      </c>
      <c r="F41" s="3" t="inlineStr">
        <is>
          <t>CWE-297 Description; historically common in custom HTTP client wrappers</t>
        </is>
      </c>
      <c r="G41" s="3" t="inlineStr">
        <is>
          <t>CWE-297</t>
        </is>
      </c>
      <c r="H41" s="6" t="inlineStr">
        <is>
          <t>High</t>
        </is>
      </c>
      <c r="I41" s="8" t="inlineStr">
        <is>
          <t>No</t>
        </is>
      </c>
      <c r="J41" s="3" t="inlineStr">
        <is>
          <t>Verify the certificate's Subject Alternative Name against the connected hostname</t>
        </is>
      </c>
    </row>
    <row r="42" ht="60" customHeight="1">
      <c r="A42" s="2" t="n">
        <v>41</v>
      </c>
      <c r="B42" s="3" t="inlineStr">
        <is>
          <t>Missing certificate revocation check (no OCSP/CRL)</t>
        </is>
      </c>
      <c r="C42" s="3" t="inlineStr">
        <is>
          <t>Certificate &amp; Trust</t>
        </is>
      </c>
      <c r="D42" s="3" t="inlineStr">
        <is>
          <t>CWE-299</t>
        </is>
      </c>
      <c r="E42" s="3" t="inlineStr">
        <is>
          <t>A compromised or revoked certificate remains trusted if revocation status is never checked.</t>
        </is>
      </c>
      <c r="F42" s="3" t="inlineStr">
        <is>
          <t>CWE-299 Description</t>
        </is>
      </c>
      <c r="G42" s="3" t="inlineStr">
        <is>
          <t>CWE-299</t>
        </is>
      </c>
      <c r="H42" s="7" t="inlineStr">
        <is>
          <t>Medium</t>
        </is>
      </c>
      <c r="I42" s="8" t="inlineStr">
        <is>
          <t>No</t>
        </is>
      </c>
      <c r="J42" s="3" t="inlineStr">
        <is>
          <t>Implement OCSP stapling or CRL checking in the TLS client</t>
        </is>
      </c>
    </row>
    <row r="43" ht="60" customHeight="1">
      <c r="A43" s="2" t="n">
        <v>42</v>
      </c>
      <c r="B43" s="3" t="inlineStr">
        <is>
          <t>Use of an expired TLS/X.509 certificate</t>
        </is>
      </c>
      <c r="C43" s="3" t="inlineStr">
        <is>
          <t>Certificate &amp; Trust</t>
        </is>
      </c>
      <c r="D43" s="3" t="inlineStr">
        <is>
          <t>CWE-324</t>
        </is>
      </c>
      <c r="E43" s="3" t="inlineStr">
        <is>
          <t>An expired certificate provides no assurance the key it attests to is still validly controlled by the claimed owner.</t>
        </is>
      </c>
      <c r="F43" s="3" t="inlineStr">
        <is>
          <t>CWE-324 Observed Examples</t>
        </is>
      </c>
      <c r="G43" s="3" t="inlineStr">
        <is>
          <t>CWE-324</t>
        </is>
      </c>
      <c r="H43" s="7" t="inlineStr">
        <is>
          <t>Medium</t>
        </is>
      </c>
      <c r="I43" s="5" t="inlineStr">
        <is>
          <t>Yes</t>
        </is>
      </c>
      <c r="J43" s="3" t="inlineStr">
        <is>
          <t>Automate certificate renewal well before expiry (ACME/Let's Encrypt or enterprise CA)</t>
        </is>
      </c>
    </row>
    <row r="44" ht="60" customHeight="1">
      <c r="A44" s="2" t="n">
        <v>43</v>
      </c>
      <c r="B44" s="3" t="inlineStr">
        <is>
          <t>Self-signed certificate trusted in a production environment</t>
        </is>
      </c>
      <c r="C44" s="3" t="inlineStr">
        <is>
          <t>Certificate &amp; Trust</t>
        </is>
      </c>
      <c r="D44" s="3" t="inlineStr">
        <is>
          <t>CWE-295 (related)</t>
        </is>
      </c>
      <c r="E44" s="3" t="inlineStr">
        <is>
          <t>Bypasses the entire chain-of-trust model that PKI is built on.</t>
        </is>
      </c>
      <c r="F44" s="3" t="inlineStr">
        <is>
          <t>Common finding in internal-service TLS configurations</t>
        </is>
      </c>
      <c r="G44" s="3" t="inlineStr">
        <is>
          <t>OWASP Transport Layer Protection Cheat Sheet</t>
        </is>
      </c>
      <c r="H44" s="7" t="inlineStr">
        <is>
          <t>Medium</t>
        </is>
      </c>
      <c r="I44" s="7" t="inlineStr">
        <is>
          <t>Partial</t>
        </is>
      </c>
      <c r="J44" s="3" t="inlineStr">
        <is>
          <t>Use an internal CA or public CA-issued certificate for production traffic</t>
        </is>
      </c>
    </row>
    <row r="45" ht="60" customHeight="1">
      <c r="A45" s="2" t="n">
        <v>44</v>
      </c>
      <c r="B45" s="3" t="inlineStr">
        <is>
          <t>Certificate signed with a weak/deprecated signature algorithm (SHA-1-signed cert)</t>
        </is>
      </c>
      <c r="C45" s="3" t="inlineStr">
        <is>
          <t>Certificate &amp; Trust</t>
        </is>
      </c>
      <c r="D45" s="3" t="inlineStr">
        <is>
          <t>CWE-347 / CWE-327</t>
        </is>
      </c>
      <c r="E45" s="3" t="inlineStr">
        <is>
          <t>A collision-vulnerable signature algorithm on a certificate allows a forged certificate with a valid-looking signature.</t>
        </is>
      </c>
      <c r="F45" s="3" t="inlineStr">
        <is>
          <t>CVE-2005-2946 (default configuration used MD5 instead of a stronger available algorithm, simplifying cert forgery)</t>
        </is>
      </c>
      <c r="G45" s="3" t="inlineStr">
        <is>
          <t>CWE-327 Observed Examples</t>
        </is>
      </c>
      <c r="H45" s="6" t="inlineStr">
        <is>
          <t>High</t>
        </is>
      </c>
      <c r="I45" s="5" t="inlineStr">
        <is>
          <t>Yes</t>
        </is>
      </c>
      <c r="J45" s="3" t="inlineStr">
        <is>
          <t>Reissue with SHA-256 or stronger signing algorithm</t>
        </is>
      </c>
    </row>
    <row r="46" ht="60" customHeight="1">
      <c r="A46" s="2" t="n">
        <v>45</v>
      </c>
      <c r="B46" s="3" t="inlineStr">
        <is>
          <t>Certificate chain of trust improperly followed</t>
        </is>
      </c>
      <c r="C46" s="3" t="inlineStr">
        <is>
          <t>Certificate &amp; Trust</t>
        </is>
      </c>
      <c r="D46" s="3" t="inlineStr">
        <is>
          <t>CWE-296</t>
        </is>
      </c>
      <c r="E46" s="3" t="inlineStr">
        <is>
          <t>Skipping intermediate-CA validation steps can allow an attacker-controlled leaf certificate to be accepted.</t>
        </is>
      </c>
      <c r="F46" s="3" t="inlineStr">
        <is>
          <t>CWE-296 Description; OWASP Top 10:2025 A04 explicit CWE mapping</t>
        </is>
      </c>
      <c r="G46" s="3" t="inlineStr">
        <is>
          <t>OWASP A04:2025; CWE-296</t>
        </is>
      </c>
      <c r="H46" s="6" t="inlineStr">
        <is>
          <t>High</t>
        </is>
      </c>
      <c r="I46" s="8" t="inlineStr">
        <is>
          <t>No</t>
        </is>
      </c>
      <c r="J46" s="3" t="inlineStr">
        <is>
          <t>Validate the full chain to a trusted root, not just the leaf certificate</t>
        </is>
      </c>
    </row>
    <row r="47" ht="60" customHeight="1">
      <c r="A47" s="2" t="n">
        <v>46</v>
      </c>
      <c r="B47" s="3" t="inlineStr">
        <is>
          <t>Overly broad wildcard certificate scope</t>
        </is>
      </c>
      <c r="C47" s="3" t="inlineStr">
        <is>
          <t>Certificate &amp; Trust</t>
        </is>
      </c>
      <c r="D47" s="3" t="inlineStr">
        <is>
          <t>N/A (best practice)</t>
        </is>
      </c>
      <c r="E47" s="3" t="inlineStr">
        <is>
          <t>A wildcard certificate compromised on one low-value subdomain grants an attacker impersonation ability across every subdomain it covers.</t>
        </is>
      </c>
      <c r="F47" s="3" t="inlineStr">
        <is>
          <t>General PKI best-practice guidance (NIST SP 800-52 Rev.2)</t>
        </is>
      </c>
      <c r="G47" s="3" t="inlineStr">
        <is>
          <t>NIST SP 800-52 Rev.2</t>
        </is>
      </c>
      <c r="H47" s="5" t="inlineStr">
        <is>
          <t>Low</t>
        </is>
      </c>
      <c r="I47" s="8" t="inlineStr">
        <is>
          <t>No</t>
        </is>
      </c>
      <c r="J47" s="3" t="inlineStr">
        <is>
          <t>Scope certificates as narrowly as operationally feasible</t>
        </is>
      </c>
    </row>
    <row r="48" ht="60" customHeight="1">
      <c r="A48" s="2" t="n">
        <v>47</v>
      </c>
      <c r="B48" s="3" t="inlineStr">
        <is>
          <t>Missing certificate pinning for high-value mobile/IoT channels</t>
        </is>
      </c>
      <c r="C48" s="3" t="inlineStr">
        <is>
          <t>Certificate &amp; Trust</t>
        </is>
      </c>
      <c r="D48" s="3" t="inlineStr">
        <is>
          <t>N/A (OWASP MASVS)</t>
        </is>
      </c>
      <c r="E48" s="3" t="inlineStr">
        <is>
          <t>Without pinning, a compromised or coerced CA can issue a certificate that impersonates the legitimate endpoint.</t>
        </is>
      </c>
      <c r="F48" s="3" t="inlineStr">
        <is>
          <t>OWASP Mobile Application Security Verification Standard (MASVS), Network Communication requirements</t>
        </is>
      </c>
      <c r="G48" s="3" t="inlineStr">
        <is>
          <t>OWASP MASVS</t>
        </is>
      </c>
      <c r="H48" s="7" t="inlineStr">
        <is>
          <t>Medium</t>
        </is>
      </c>
      <c r="I48" s="8" t="inlineStr">
        <is>
          <t>No</t>
        </is>
      </c>
      <c r="J48" s="3" t="inlineStr">
        <is>
          <t>Pin the expected certificate or public key for high-sensitivity channels</t>
        </is>
      </c>
    </row>
    <row r="49" ht="60" customHeight="1">
      <c r="A49" s="2" t="n">
        <v>48</v>
      </c>
      <c r="B49" s="3" t="inlineStr">
        <is>
          <t>Rogue or mis-issued Certificate Authority trusted by default</t>
        </is>
      </c>
      <c r="C49" s="3" t="inlineStr">
        <is>
          <t>Certificate &amp; Trust</t>
        </is>
      </c>
      <c r="D49" s="3" t="inlineStr">
        <is>
          <t>N/A (CAPEC)</t>
        </is>
      </c>
      <c r="E49" s="3" t="inlineStr">
        <is>
          <t>A single compromised or coerced root CA can mint trusted certificates for any domain, a direct real-world 'superspreader.'</t>
        </is>
      </c>
      <c r="F49" s="3" t="inlineStr">
        <is>
          <t>CAPEC-459, 'Creating a Rogue Certification Authority Certificate'; 2011 DigiNotar CA breach</t>
        </is>
      </c>
      <c r="G49" s="3" t="inlineStr">
        <is>
          <t>CAPEC-459; DigiNotar incident (2011, publicly documented)</t>
        </is>
      </c>
      <c r="H49" s="4" t="inlineStr">
        <is>
          <t>Critical</t>
        </is>
      </c>
      <c r="I49" s="7" t="inlineStr">
        <is>
          <t>Partial</t>
        </is>
      </c>
      <c r="J49" s="3" t="inlineStr">
        <is>
          <t>Restrict and monitor the trusted root CA store; ECDAT's contagion graph models a root CA as a superspreader node</t>
        </is>
      </c>
    </row>
    <row r="50" ht="60" customHeight="1">
      <c r="A50" s="2" t="n">
        <v>49</v>
      </c>
      <c r="B50" s="3" t="inlineStr">
        <is>
          <t>Improper verification of a cryptographic signature</t>
        </is>
      </c>
      <c r="C50" s="3" t="inlineStr">
        <is>
          <t>Signature &amp; Integrity</t>
        </is>
      </c>
      <c r="D50" s="3" t="inlineStr">
        <is>
          <t>CWE-347</t>
        </is>
      </c>
      <c r="E50" s="3" t="inlineStr">
        <is>
          <t>Skipping or incorrectly implementing signature verification allows forged or tampered data to be accepted as authentic.</t>
        </is>
      </c>
      <c r="F50" s="3" t="inlineStr">
        <is>
          <t>CWE-347 is directly named in ECDAT's own attestation and Negative Proof design</t>
        </is>
      </c>
      <c r="G50" s="3" t="inlineStr">
        <is>
          <t>CWE-347</t>
        </is>
      </c>
      <c r="H50" s="4" t="inlineStr">
        <is>
          <t>Critical</t>
        </is>
      </c>
      <c r="I50" s="7" t="inlineStr">
        <is>
          <t>Partial</t>
        </is>
      </c>
      <c r="J50" s="3" t="inlineStr">
        <is>
          <t>Always verify signatures using a vetted library's verify() call, never hand-rolled comparison</t>
        </is>
      </c>
    </row>
    <row r="51" ht="60" customHeight="1">
      <c r="A51" s="2" t="n">
        <v>50</v>
      </c>
      <c r="B51" s="3" t="inlineStr">
        <is>
          <t>Missing MAC / no integrity check on encrypted data</t>
        </is>
      </c>
      <c r="C51" s="3" t="inlineStr">
        <is>
          <t>Signature &amp; Integrity</t>
        </is>
      </c>
      <c r="D51" s="3" t="inlineStr">
        <is>
          <t>CWE-353 (related)</t>
        </is>
      </c>
      <c r="E51" s="3" t="inlineStr">
        <is>
          <t>Encryption alone (without authentication) permits an attacker to tamper with ciphertext undetected (malleability attacks).</t>
        </is>
      </c>
      <c r="F51" s="3" t="inlineStr">
        <is>
          <t>Padding-oracle-class attacks generally exploit exactly this gap</t>
        </is>
      </c>
      <c r="G51" s="3" t="inlineStr">
        <is>
          <t>CWE-353</t>
        </is>
      </c>
      <c r="H51" s="6" t="inlineStr">
        <is>
          <t>High</t>
        </is>
      </c>
      <c r="I51" s="7" t="inlineStr">
        <is>
          <t>Partial</t>
        </is>
      </c>
      <c r="J51" s="3" t="inlineStr">
        <is>
          <t>Use an authenticated mode (AES-GCM, ChaCha20-Poly1305) rather than encrypt-only</t>
        </is>
      </c>
    </row>
    <row r="52" ht="60" customHeight="1">
      <c r="A52" s="2" t="n">
        <v>51</v>
      </c>
      <c r="B52" s="3" t="inlineStr">
        <is>
          <t>Length-extension attack against a Merkle-Damgård MAC construction (H(key||msg))</t>
        </is>
      </c>
      <c r="C52" s="3" t="inlineStr">
        <is>
          <t>Signature &amp; Integrity</t>
        </is>
      </c>
      <c r="D52" s="3" t="inlineStr">
        <is>
          <t>N/A (well-documented construction flaw)</t>
        </is>
      </c>
      <c r="E52" s="3" t="inlineStr">
        <is>
          <t>MD5/SHA-1/SHA-256's Merkle-Damgård structure allows an attacker to compute H(key||msg||pad||extra) without knowing the key.</t>
        </is>
      </c>
      <c r="F52" s="3" t="inlineStr">
        <is>
          <t>Flickr API signature forgery via length extension (publicly disclosed, 2009)</t>
        </is>
      </c>
      <c r="G52" s="3" t="inlineStr">
        <is>
          <t>Public 2009 Flickr API disclosure; general cryptographic literature</t>
        </is>
      </c>
      <c r="H52" s="7" t="inlineStr">
        <is>
          <t>Medium</t>
        </is>
      </c>
      <c r="I52" s="8" t="inlineStr">
        <is>
          <t>No</t>
        </is>
      </c>
      <c r="J52" s="3" t="inlineStr">
        <is>
          <t>Use HMAC, which is specifically designed to resist length-extension attacks</t>
        </is>
      </c>
    </row>
    <row r="53" ht="60" customHeight="1">
      <c r="A53" s="2" t="n">
        <v>52</v>
      </c>
      <c r="B53" s="3" t="inlineStr">
        <is>
          <t>RSA PKCS#1 v1.5 padding oracle (Bleichenbacher's attack)</t>
        </is>
      </c>
      <c r="C53" s="3" t="inlineStr">
        <is>
          <t>Signature &amp; Integrity</t>
        </is>
      </c>
      <c r="D53" s="3" t="inlineStr">
        <is>
          <t>CWE-780 (related)</t>
        </is>
      </c>
      <c r="E53" s="3" t="inlineStr">
        <is>
          <t>Distinguishable error responses to malformed PKCS#1 v1.5 padding let an attacker decrypt RSA ciphertext via ~1M oracle queries.</t>
        </is>
      </c>
      <c r="F53" s="3" t="inlineStr">
        <is>
          <t>Bleichenbacher, CRYPTO 1998; revived as ROBOT in 2017 against multiple TLS vendors</t>
        </is>
      </c>
      <c r="G53" s="3" t="inlineStr">
        <is>
          <t>CRYPTO 1998 paper; ROBOT (2017) disclosures</t>
        </is>
      </c>
      <c r="H53" s="4" t="inlineStr">
        <is>
          <t>Critical</t>
        </is>
      </c>
      <c r="I53" s="7" t="inlineStr">
        <is>
          <t>Partial</t>
        </is>
      </c>
      <c r="J53" s="3" t="inlineStr">
        <is>
          <t>Use RSA-OAEP, or implement constant-time/uniform error handling</t>
        </is>
      </c>
    </row>
    <row r="54" ht="60" customHeight="1">
      <c r="A54" s="2" t="n">
        <v>53</v>
      </c>
      <c r="B54" s="3" t="inlineStr">
        <is>
          <t>Use of RSA encryption without OAEP padding</t>
        </is>
      </c>
      <c r="C54" s="3" t="inlineStr">
        <is>
          <t>Signature &amp; Integrity</t>
        </is>
      </c>
      <c r="D54" s="3" t="inlineStr">
        <is>
          <t>CWE-780</t>
        </is>
      </c>
      <c r="E54" s="3" t="inlineStr">
        <is>
          <t>Raw or PKCS#1 v1.5 RSA encryption without OAEP is structurally malleable and padding-oracle-prone.</t>
        </is>
      </c>
      <c r="F54" s="3" t="inlineStr">
        <is>
          <t>CWE-780 Description</t>
        </is>
      </c>
      <c r="G54" s="3" t="inlineStr">
        <is>
          <t>CWE-780</t>
        </is>
      </c>
      <c r="H54" s="6" t="inlineStr">
        <is>
          <t>High</t>
        </is>
      </c>
      <c r="I54" s="7" t="inlineStr">
        <is>
          <t>Partial</t>
        </is>
      </c>
      <c r="J54" s="3" t="inlineStr">
        <is>
          <t>Always pad RSA encryption with OAEP</t>
        </is>
      </c>
    </row>
    <row r="55" ht="60" customHeight="1">
      <c r="A55" s="2" t="n">
        <v>54</v>
      </c>
      <c r="B55" s="3" t="inlineStr">
        <is>
          <t>JWT 'alg:none' / algorithm-confusion vulnerability</t>
        </is>
      </c>
      <c r="C55" s="3" t="inlineStr">
        <is>
          <t>Signature &amp; Integrity</t>
        </is>
      </c>
      <c r="D55" s="3" t="inlineStr">
        <is>
          <t>N/A (well-documented pattern)</t>
        </is>
      </c>
      <c r="E55" s="3" t="inlineStr">
        <is>
          <t>A JWT library that trusts the token's own 'alg' header can be tricked into accepting an unsigned or wrongly-verified token.</t>
        </is>
      </c>
      <c r="F55" s="3" t="inlineStr">
        <is>
          <t>Public disclosure by Auth0 researchers (2015), affecting multiple JWT libraries across languages</t>
        </is>
      </c>
      <c r="G55" s="3" t="inlineStr">
        <is>
          <t>Auth0 security research, 2015 (widely cited, multiple library CVEs followed)</t>
        </is>
      </c>
      <c r="H55" s="4" t="inlineStr">
        <is>
          <t>Critical</t>
        </is>
      </c>
      <c r="I55" s="8" t="inlineStr">
        <is>
          <t>No</t>
        </is>
      </c>
      <c r="J55" s="3" t="inlineStr">
        <is>
          <t>Pin the expected algorithm server-side; never trust the token's own alg header</t>
        </is>
      </c>
    </row>
    <row r="56" ht="60" customHeight="1">
      <c r="A56" s="2" t="n">
        <v>55</v>
      </c>
      <c r="B56" s="3" t="inlineStr">
        <is>
          <t>HS256/RS256 key-confusion attack in JWT verification</t>
        </is>
      </c>
      <c r="C56" s="3" t="inlineStr">
        <is>
          <t>Signature &amp; Integrity</t>
        </is>
      </c>
      <c r="D56" s="3" t="inlineStr">
        <is>
          <t>N/A (well-documented pattern)</t>
        </is>
      </c>
      <c r="E56" s="3" t="inlineStr">
        <is>
          <t>Feeding an RS256 public key as the HS256 secret lets an attacker forge tokens the server will accept.</t>
        </is>
      </c>
      <c r="F56" s="3" t="inlineStr">
        <is>
          <t>Same 2015 Auth0 JWT research lineage as row 54</t>
        </is>
      </c>
      <c r="G56" s="3" t="inlineStr">
        <is>
          <t>Auth0 security research, 2015</t>
        </is>
      </c>
      <c r="H56" s="6" t="inlineStr">
        <is>
          <t>High</t>
        </is>
      </c>
      <c r="I56" s="8" t="inlineStr">
        <is>
          <t>No</t>
        </is>
      </c>
      <c r="J56" s="3" t="inlineStr">
        <is>
          <t>Explicitly enforce and pin the verification algorithm per key type</t>
        </is>
      </c>
    </row>
    <row r="57" ht="60" customHeight="1">
      <c r="A57" s="2" t="n">
        <v>56</v>
      </c>
      <c r="B57" s="3" t="inlineStr">
        <is>
          <t>MAC-then-encrypt / incorrect authenticated-encryption composition order</t>
        </is>
      </c>
      <c r="C57" s="3" t="inlineStr">
        <is>
          <t>Signature &amp; Integrity</t>
        </is>
      </c>
      <c r="D57" s="3" t="inlineStr">
        <is>
          <t>N/A (cryptographic design guidance)</t>
        </is>
      </c>
      <c r="E57" s="3" t="inlineStr">
        <is>
          <t>Encrypt-then-MAC is the only composition proven secure against active adversaries in the standard model; the other orderings admit chosen-ciphertext attacks in some settings.</t>
        </is>
      </c>
      <c r="F57" s="3" t="inlineStr">
        <is>
          <t>Krawczyk, 'The Order of Encryption and Authentication for Protecting Communications', CRYPTO 2001</t>
        </is>
      </c>
      <c r="G57" s="3" t="inlineStr">
        <is>
          <t>Krawczyk, CRYPTO 2001</t>
        </is>
      </c>
      <c r="H57" s="7" t="inlineStr">
        <is>
          <t>Medium</t>
        </is>
      </c>
      <c r="I57" s="8" t="inlineStr">
        <is>
          <t>No</t>
        </is>
      </c>
      <c r="J57" s="3" t="inlineStr">
        <is>
          <t>Use Encrypt-then-MAC, or a combined AEAD mode (AES-GCM) that handles this correctly by construction</t>
        </is>
      </c>
    </row>
    <row r="58" ht="60" customHeight="1">
      <c r="A58" s="2" t="n">
        <v>57</v>
      </c>
      <c r="B58" s="3" t="inlineStr">
        <is>
          <t>Non-constant-time comparison of MAC/signature values</t>
        </is>
      </c>
      <c r="C58" s="3" t="inlineStr">
        <is>
          <t>Signature &amp; Integrity</t>
        </is>
      </c>
      <c r="D58" s="3" t="inlineStr">
        <is>
          <t>CWE-208</t>
        </is>
      </c>
      <c r="E58" s="3" t="inlineStr">
        <is>
          <t>A comparison that short-circuits on the first differing byte leaks timing information an attacker can use to forge a valid tag byte-by-byte.</t>
        </is>
      </c>
      <c r="F58" s="3" t="inlineStr">
        <is>
          <t>CWE-208, 'Observable Timing Discrepancy'; Lucky13 (row 66) is a protocol-level instance of this class</t>
        </is>
      </c>
      <c r="G58" s="3" t="inlineStr">
        <is>
          <t>CWE-208</t>
        </is>
      </c>
      <c r="H58" s="7" t="inlineStr">
        <is>
          <t>Medium</t>
        </is>
      </c>
      <c r="I58" s="8" t="inlineStr">
        <is>
          <t>No</t>
        </is>
      </c>
      <c r="J58" s="3" t="inlineStr">
        <is>
          <t>Use a constant-time comparison function (hmac.compare_digest or equivalent)</t>
        </is>
      </c>
    </row>
    <row r="59" ht="60" customHeight="1">
      <c r="A59" s="2" t="n">
        <v>58</v>
      </c>
      <c r="B59" s="3" t="inlineStr">
        <is>
          <t>Missing replay protection on signed messages</t>
        </is>
      </c>
      <c r="C59" s="3" t="inlineStr">
        <is>
          <t>Signature &amp; Integrity</t>
        </is>
      </c>
      <c r="D59" s="3" t="inlineStr">
        <is>
          <t>N/A (protocol design guidance)</t>
        </is>
      </c>
      <c r="E59" s="3" t="inlineStr">
        <is>
          <t>A validly-signed message with no nonce or timestamp can be captured and resubmitted indefinitely.</t>
        </is>
      </c>
      <c r="F59" s="3" t="inlineStr">
        <is>
          <t>General secure-protocol-design guidance (e.g. RFC 6749 §10.12, OAuth security considerations)</t>
        </is>
      </c>
      <c r="G59" s="3" t="inlineStr">
        <is>
          <t>RFC 6749 §10.12</t>
        </is>
      </c>
      <c r="H59" s="7" t="inlineStr">
        <is>
          <t>Medium</t>
        </is>
      </c>
      <c r="I59" s="8" t="inlineStr">
        <is>
          <t>No</t>
        </is>
      </c>
      <c r="J59" s="3" t="inlineStr">
        <is>
          <t>Include a timestamp or single-use nonce inside every signed payload</t>
        </is>
      </c>
    </row>
    <row r="60" ht="60" customHeight="1">
      <c r="A60" s="2" t="n">
        <v>59</v>
      </c>
      <c r="B60" s="3" t="inlineStr">
        <is>
          <t>Signature verification key confused with encryption key (same keypair, dual use)</t>
        </is>
      </c>
      <c r="C60" s="3" t="inlineStr">
        <is>
          <t>Signature &amp; Integrity</t>
        </is>
      </c>
      <c r="D60" s="3" t="inlineStr">
        <is>
          <t>CWE-323 (related)</t>
        </is>
      </c>
      <c r="E60" s="3" t="inlineStr">
        <is>
          <t>Using one asymmetric keypair for both signing and decryption can allow a decryption oracle to be abused to forge signatures in some padding schemes.</t>
        </is>
      </c>
      <c r="F60" s="3" t="inlineStr">
        <is>
          <t>NIST SP 800-57 Part 1, key-usage separation guidance</t>
        </is>
      </c>
      <c r="G60" s="3" t="inlineStr">
        <is>
          <t>NIST SP 800-57 Part 1 Rev.5</t>
        </is>
      </c>
      <c r="H60" s="7" t="inlineStr">
        <is>
          <t>Medium</t>
        </is>
      </c>
      <c r="I60" s="7" t="inlineStr">
        <is>
          <t>Partial</t>
        </is>
      </c>
      <c r="J60" s="3" t="inlineStr">
        <is>
          <t>Use separate keypairs for signing and encryption roles</t>
        </is>
      </c>
    </row>
    <row r="61" ht="60" customHeight="1">
      <c r="A61" s="2" t="n">
        <v>60</v>
      </c>
      <c r="B61" s="3" t="inlineStr">
        <is>
          <t>Heartbleed — OpenSSL heap buffer over-read exposing private keys/session data</t>
        </is>
      </c>
      <c r="C61" s="3" t="inlineStr">
        <is>
          <t>Protocol / Implementation</t>
        </is>
      </c>
      <c r="D61" s="3" t="inlineStr">
        <is>
          <t>CWE-125 (Out-of-bounds Read)</t>
        </is>
      </c>
      <c r="E61" s="3" t="inlineStr">
        <is>
          <t>A missing bounds check in the TLS heartbeat extension let remote attackers read up to 64KB of process memory per request, including private keys.</t>
        </is>
      </c>
      <c r="F61" s="3" t="inlineStr">
        <is>
          <t>CVE-2014-0160</t>
        </is>
      </c>
      <c r="G61" s="3" t="inlineStr">
        <is>
          <t>CVE-2014-0160; Codenomicon/Google disclosure, April 2014</t>
        </is>
      </c>
      <c r="H61" s="4" t="inlineStr">
        <is>
          <t>Critical</t>
        </is>
      </c>
      <c r="I61" s="8" t="inlineStr">
        <is>
          <t>No</t>
        </is>
      </c>
      <c r="J61" s="3" t="inlineStr">
        <is>
          <t>Patch immediately; rotate all keys/certificates that may have been exposed</t>
        </is>
      </c>
    </row>
    <row r="62" ht="60" customHeight="1">
      <c r="A62" s="2" t="n">
        <v>61</v>
      </c>
      <c r="B62" s="3" t="inlineStr">
        <is>
          <t>POODLE — SSLv3 CBC padding oracle</t>
        </is>
      </c>
      <c r="C62" s="3" t="inlineStr">
        <is>
          <t>Protocol / Downgrade</t>
        </is>
      </c>
      <c r="D62" s="3" t="inlineStr">
        <is>
          <t>CWE-327 (related)</t>
        </is>
      </c>
      <c r="E62" s="3" t="inlineStr">
        <is>
          <t>Exploits a padding-validation flaw in SSLv3 CBC mode after forcing a protocol downgrade.</t>
        </is>
      </c>
      <c r="F62" s="3" t="inlineStr">
        <is>
          <t>CVE-2014-3566</t>
        </is>
      </c>
      <c r="G62" s="3" t="inlineStr">
        <is>
          <t>CVE-2014-3566; Google Security Team, October 2014</t>
        </is>
      </c>
      <c r="H62" s="6" t="inlineStr">
        <is>
          <t>High</t>
        </is>
      </c>
      <c r="I62" s="7" t="inlineStr">
        <is>
          <t>Partial</t>
        </is>
      </c>
      <c r="J62" s="3" t="inlineStr">
        <is>
          <t>Disable SSLv3 entirely</t>
        </is>
      </c>
    </row>
    <row r="63" ht="60" customHeight="1">
      <c r="A63" s="2" t="n">
        <v>62</v>
      </c>
      <c r="B63" s="3" t="inlineStr">
        <is>
          <t>BEAST — TLS 1.0 CBC chosen-plaintext attack</t>
        </is>
      </c>
      <c r="C63" s="3" t="inlineStr">
        <is>
          <t>Protocol / Implementation</t>
        </is>
      </c>
      <c r="D63" s="3" t="inlineStr">
        <is>
          <t>CWE-327 (related)</t>
        </is>
      </c>
      <c r="E63" s="3" t="inlineStr">
        <is>
          <t>Exploits predictable CBC initialization vectors in TLS 1.0 to recover encrypted session cookies.</t>
        </is>
      </c>
      <c r="F63" s="3" t="inlineStr">
        <is>
          <t>CVE-2011-3389</t>
        </is>
      </c>
      <c r="G63" s="3" t="inlineStr">
        <is>
          <t>CVE-2011-3389; Duong &amp; Rizzo, 2011</t>
        </is>
      </c>
      <c r="H63" s="7" t="inlineStr">
        <is>
          <t>Medium</t>
        </is>
      </c>
      <c r="I63" s="7" t="inlineStr">
        <is>
          <t>Partial</t>
        </is>
      </c>
      <c r="J63" s="3" t="inlineStr">
        <is>
          <t>Disable TLS 1.0; prefer TLS 1.2/1.3</t>
        </is>
      </c>
    </row>
    <row r="64" ht="60" customHeight="1">
      <c r="A64" s="2" t="n">
        <v>63</v>
      </c>
      <c r="B64" s="3" t="inlineStr">
        <is>
          <t>CRIME — TLS compression side channel</t>
        </is>
      </c>
      <c r="C64" s="3" t="inlineStr">
        <is>
          <t>Protocol / Implementation</t>
        </is>
      </c>
      <c r="D64" s="3" t="inlineStr">
        <is>
          <t>CWE-200 (related)</t>
        </is>
      </c>
      <c r="E64" s="3" t="inlineStr">
        <is>
          <t>Compression ratio leaks information about secret request headers (e.g. session cookies) via chosen-plaintext injection.</t>
        </is>
      </c>
      <c r="F64" s="3" t="inlineStr">
        <is>
          <t>CVE-2012-4929</t>
        </is>
      </c>
      <c r="G64" s="3" t="inlineStr">
        <is>
          <t>CVE-2012-4929; Duong &amp; Rizzo, 2012</t>
        </is>
      </c>
      <c r="H64" s="7" t="inlineStr">
        <is>
          <t>Medium</t>
        </is>
      </c>
      <c r="I64" s="8" t="inlineStr">
        <is>
          <t>No</t>
        </is>
      </c>
      <c r="J64" s="3" t="inlineStr">
        <is>
          <t>Disable TLS-level compression</t>
        </is>
      </c>
    </row>
    <row r="65" ht="60" customHeight="1">
      <c r="A65" s="2" t="n">
        <v>64</v>
      </c>
      <c r="B65" s="3" t="inlineStr">
        <is>
          <t>BREACH — HTTP response compression side channel</t>
        </is>
      </c>
      <c r="C65" s="3" t="inlineStr">
        <is>
          <t>Protocol / Implementation</t>
        </is>
      </c>
      <c r="D65" s="3" t="inlineStr">
        <is>
          <t>CWE-200 (related)</t>
        </is>
      </c>
      <c r="E65" s="3" t="inlineStr">
        <is>
          <t>Same compression-oracle principle as CRIME, applied at the HTTP layer instead of TLS.</t>
        </is>
      </c>
      <c r="F65" s="3" t="inlineStr">
        <is>
          <t>CVE-2013-3587</t>
        </is>
      </c>
      <c r="G65" s="3" t="inlineStr">
        <is>
          <t>CVE-2013-3587; Prado, Harris &amp; Gluck, 2013</t>
        </is>
      </c>
      <c r="H65" s="7" t="inlineStr">
        <is>
          <t>Medium</t>
        </is>
      </c>
      <c r="I65" s="8" t="inlineStr">
        <is>
          <t>No</t>
        </is>
      </c>
      <c r="J65" s="3" t="inlineStr">
        <is>
          <t>Disable HTTP compression for pages containing secrets, or use per-request CSRF-style masking</t>
        </is>
      </c>
    </row>
    <row r="66" ht="60" customHeight="1">
      <c r="A66" s="2" t="n">
        <v>65</v>
      </c>
      <c r="B66" s="3" t="inlineStr">
        <is>
          <t>FREAK — forced downgrade to export-grade RSA</t>
        </is>
      </c>
      <c r="C66" s="3" t="inlineStr">
        <is>
          <t>Protocol / Downgrade</t>
        </is>
      </c>
      <c r="D66" s="3" t="inlineStr">
        <is>
          <t>CWE-327</t>
        </is>
      </c>
      <c r="E66" s="3" t="inlineStr">
        <is>
          <t>Exploits legacy 1990s US export-grade cipher suites (512-bit RSA) still accepted by many servers/clients.</t>
        </is>
      </c>
      <c r="F66" s="3" t="inlineStr">
        <is>
          <t>CVE-2015-0204</t>
        </is>
      </c>
      <c r="G66" s="3" t="inlineStr">
        <is>
          <t>CVE-2015-0204; Smart et al. disclosure, March 2015</t>
        </is>
      </c>
      <c r="H66" s="6" t="inlineStr">
        <is>
          <t>High</t>
        </is>
      </c>
      <c r="I66" s="7" t="inlineStr">
        <is>
          <t>Partial</t>
        </is>
      </c>
      <c r="J66" s="3" t="inlineStr">
        <is>
          <t>Remove export-grade cipher suites from server configuration</t>
        </is>
      </c>
    </row>
    <row r="67" ht="60" customHeight="1">
      <c r="A67" s="2" t="n">
        <v>66</v>
      </c>
      <c r="B67" s="3" t="inlineStr">
        <is>
          <t>Logjam — forced downgrade to export-grade Diffie-Hellman</t>
        </is>
      </c>
      <c r="C67" s="3" t="inlineStr">
        <is>
          <t>Protocol / Downgrade</t>
        </is>
      </c>
      <c r="D67" s="3" t="inlineStr">
        <is>
          <t>CWE-327</t>
        </is>
      </c>
      <c r="E67" s="3" t="inlineStr">
        <is>
          <t>Similar to FREAK but targets weak 512-bit DH groups, enabling precomputation-assisted key recovery.</t>
        </is>
      </c>
      <c r="F67" s="3" t="inlineStr">
        <is>
          <t>CVE-2015-4000</t>
        </is>
      </c>
      <c r="G67" s="3" t="inlineStr">
        <is>
          <t>CVE-2015-4000; Adrian et al., CCS 2015</t>
        </is>
      </c>
      <c r="H67" s="6" t="inlineStr">
        <is>
          <t>High</t>
        </is>
      </c>
      <c r="I67" s="7" t="inlineStr">
        <is>
          <t>Partial</t>
        </is>
      </c>
      <c r="J67" s="3" t="inlineStr">
        <is>
          <t>Use 2048-bit+ DH groups; remove export-grade DHE suites</t>
        </is>
      </c>
    </row>
    <row r="68" ht="60" customHeight="1">
      <c r="A68" s="2" t="n">
        <v>67</v>
      </c>
      <c r="B68" s="3" t="inlineStr">
        <is>
          <t>DROWN — cross-protocol SSLv2 attack on shared RSA keys</t>
        </is>
      </c>
      <c r="C68" s="3" t="inlineStr">
        <is>
          <t>Protocol / Downgrade</t>
        </is>
      </c>
      <c r="D68" s="3" t="inlineStr">
        <is>
          <t>CWE-327</t>
        </is>
      </c>
      <c r="E68" s="3" t="inlineStr">
        <is>
          <t>A server merely supporting SSLv2 anywhere, even on an unrelated service, can let an attacker decrypt TLS traffic to any service sharing the same RSA key.</t>
        </is>
      </c>
      <c r="F68" s="3" t="inlineStr">
        <is>
          <t>CVE-2016-0800</t>
        </is>
      </c>
      <c r="G68" s="3" t="inlineStr">
        <is>
          <t>CVE-2016-0800; Aviram et al., USENIX Security 2016</t>
        </is>
      </c>
      <c r="H68" s="4" t="inlineStr">
        <is>
          <t>Critical</t>
        </is>
      </c>
      <c r="I68" s="7" t="inlineStr">
        <is>
          <t>Partial</t>
        </is>
      </c>
      <c r="J68" s="3" t="inlineStr">
        <is>
          <t>Disable SSLv2 on every service sharing a key with a TLS endpoint</t>
        </is>
      </c>
    </row>
    <row r="69" ht="60" customHeight="1">
      <c r="A69" s="2" t="n">
        <v>68</v>
      </c>
      <c r="B69" s="3" t="inlineStr">
        <is>
          <t>Sweet32 — birthday-bound collision on 64-bit block ciphers</t>
        </is>
      </c>
      <c r="C69" s="3" t="inlineStr">
        <is>
          <t>Protocol / Implementation</t>
        </is>
      </c>
      <c r="D69" s="3" t="inlineStr">
        <is>
          <t>CWE-327</t>
        </is>
      </c>
      <c r="E69" s="3" t="inlineStr">
        <is>
          <t>Long-lived connections encrypted under 3DES/Blowfish accumulate enough ciphertext blocks to trigger practical birthday collisions.</t>
        </is>
      </c>
      <c r="F69" s="3" t="inlineStr">
        <is>
          <t>CVE-2016-2183</t>
        </is>
      </c>
      <c r="G69" s="3" t="inlineStr">
        <is>
          <t>CVE-2016-2183; Bhargavan &amp; Leurent, CCS 2016</t>
        </is>
      </c>
      <c r="H69" s="7" t="inlineStr">
        <is>
          <t>Medium</t>
        </is>
      </c>
      <c r="I69" s="5" t="inlineStr">
        <is>
          <t>Yes</t>
        </is>
      </c>
      <c r="J69" s="3" t="inlineStr">
        <is>
          <t>Migrate from 64-bit-block ciphers (3DES, Blowfish) to AES-256</t>
        </is>
      </c>
    </row>
    <row r="70" ht="60" customHeight="1">
      <c r="A70" s="2" t="n">
        <v>69</v>
      </c>
      <c r="B70" s="3" t="inlineStr">
        <is>
          <t>Lucky13 — TLS CBC-MAC timing padding oracle</t>
        </is>
      </c>
      <c r="C70" s="3" t="inlineStr">
        <is>
          <t>Protocol / Implementation</t>
        </is>
      </c>
      <c r="D70" s="3" t="inlineStr">
        <is>
          <t>CWE-208</t>
        </is>
      </c>
      <c r="E70" s="3" t="inlineStr">
        <is>
          <t>Exploits microsecond-level timing differences in TLS's CBC MAC-then-encrypt validation path to decrypt traffic byte-by-byte.</t>
        </is>
      </c>
      <c r="F70" s="3" t="inlineStr">
        <is>
          <t>CVE-2013-0169</t>
        </is>
      </c>
      <c r="G70" s="3" t="inlineStr">
        <is>
          <t>CVE-2013-0169; AlFardan &amp; Paterson, IEEE S&amp;P 2013</t>
        </is>
      </c>
      <c r="H70" s="7" t="inlineStr">
        <is>
          <t>Medium</t>
        </is>
      </c>
      <c r="I70" s="8" t="inlineStr">
        <is>
          <t>No</t>
        </is>
      </c>
      <c r="J70" s="3" t="inlineStr">
        <is>
          <t>Use constant-time CBC record processing, or prefer AEAD cipher suites entirely</t>
        </is>
      </c>
    </row>
    <row r="71" ht="60" customHeight="1">
      <c r="A71" s="2" t="n">
        <v>70</v>
      </c>
      <c r="B71" s="3" t="inlineStr">
        <is>
          <t>ROBOT — the 2017 revival of Bleichenbacher's oracle across major TLS vendors</t>
        </is>
      </c>
      <c r="C71" s="3" t="inlineStr">
        <is>
          <t>Protocol / Implementation</t>
        </is>
      </c>
      <c r="D71" s="3" t="inlineStr">
        <is>
          <t>CWE-203 (related)</t>
        </is>
      </c>
      <c r="E71" s="3" t="inlineStr">
        <is>
          <t>Showed that Bleichenbacher-class padding oracles from 1998 were still present in F5, Citrix, and other major TLS stacks nearly 20 years later.</t>
        </is>
      </c>
      <c r="F71" s="3" t="inlineStr">
        <is>
          <t>Multiple 2017 CVEs (e.g. CVE-2017-13099 and vendor-specific advisories)</t>
        </is>
      </c>
      <c r="G71" s="3" t="inlineStr">
        <is>
          <t>Böck, Somorovsky &amp; Young, USENIX Security 2018 ('ROBOT')</t>
        </is>
      </c>
      <c r="H71" s="6" t="inlineStr">
        <is>
          <t>High</t>
        </is>
      </c>
      <c r="I71" s="7" t="inlineStr">
        <is>
          <t>Partial</t>
        </is>
      </c>
      <c r="J71" s="3" t="inlineStr">
        <is>
          <t>Patch to a fixed TLS stack version; disable RSA key-exchange cipher suites</t>
        </is>
      </c>
    </row>
    <row r="72" ht="60" customHeight="1">
      <c r="A72" s="2" t="n">
        <v>71</v>
      </c>
      <c r="B72" s="3" t="inlineStr">
        <is>
          <t>TLS session-renegotiation MITM vulnerability</t>
        </is>
      </c>
      <c r="C72" s="3" t="inlineStr">
        <is>
          <t>Protocol / Implementation</t>
        </is>
      </c>
      <c r="D72" s="3" t="inlineStr">
        <is>
          <t>CWE-294 (related)</t>
        </is>
      </c>
      <c r="E72" s="3" t="inlineStr">
        <is>
          <t>A flaw in TLS renegotiation allowed an attacker to splice attacker-chosen plaintext in front of a legitimate client's session.</t>
        </is>
      </c>
      <c r="F72" s="3" t="inlineStr">
        <is>
          <t>CVE-2009-3555</t>
        </is>
      </c>
      <c r="G72" s="3" t="inlineStr">
        <is>
          <t>CVE-2009-3555; disclosed by Marsh Ray, November 2009</t>
        </is>
      </c>
      <c r="H72" s="6" t="inlineStr">
        <is>
          <t>High</t>
        </is>
      </c>
      <c r="I72" s="8" t="inlineStr">
        <is>
          <t>No</t>
        </is>
      </c>
      <c r="J72" s="3" t="inlineStr">
        <is>
          <t>Patch to a TLS stack implementing RFC 5746 secure renegotiation</t>
        </is>
      </c>
    </row>
    <row r="73" ht="60" customHeight="1">
      <c r="A73" s="2" t="n">
        <v>72</v>
      </c>
      <c r="B73" s="3" t="inlineStr">
        <is>
          <t>Harvest-Now-Decrypt-Later exposure of long-lived confidential data</t>
        </is>
      </c>
      <c r="C73" s="3" t="inlineStr">
        <is>
          <t>Post-Quantum Readiness</t>
        </is>
      </c>
      <c r="D73" s="3" t="inlineStr">
        <is>
          <t>N/A (emerging risk class)</t>
        </is>
      </c>
      <c r="E73" s="3" t="inlineStr">
        <is>
          <t>Data encrypted today with classical algorithms can be recorded by an adversary now and decrypted retroactively once a cryptographically relevant quantum computer exists.</t>
        </is>
      </c>
      <c r="F73" s="3" t="inlineStr">
        <is>
          <t>Modeled by ECDAT's Mosca-theorem (X+Y&gt;Z) stochastic engine</t>
        </is>
      </c>
      <c r="G73" s="3" t="inlineStr">
        <is>
          <t>Global Risk Institute, Quantum Threat Timeline Report 2025; Mosca, IEEE S&amp;P 2018</t>
        </is>
      </c>
      <c r="H73" s="6" t="inlineStr">
        <is>
          <t>High</t>
        </is>
      </c>
      <c r="I73" s="5" t="inlineStr">
        <is>
          <t>Yes</t>
        </is>
      </c>
      <c r="J73" s="3" t="inlineStr">
        <is>
          <t>Classify data by retention period; prioritize archival/long-lived data for early PQC migration</t>
        </is>
      </c>
    </row>
    <row r="74" ht="60" customHeight="1">
      <c r="A74" s="2" t="n">
        <v>73</v>
      </c>
      <c r="B74" s="3" t="inlineStr">
        <is>
          <t>RSA/ECC key establishment retained past regulatory PQC-migration deadlines</t>
        </is>
      </c>
      <c r="C74" s="3" t="inlineStr">
        <is>
          <t>Post-Quantum Readiness</t>
        </is>
      </c>
      <c r="D74" s="3" t="inlineStr">
        <is>
          <t>N/A (regulatory)</t>
        </is>
      </c>
      <c r="E74" s="3" t="inlineStr">
        <is>
          <t>Continued use of classical key-establishment algorithms after the mandated cutover date creates non-compliance and residual quantum risk.</t>
        </is>
      </c>
      <c r="F74" s="3" t="inlineStr">
        <is>
          <t>U.S. federal agencies required to migrate key-establishment by 2030</t>
        </is>
      </c>
      <c r="G74" s="3" t="inlineStr">
        <is>
          <t>OMB Memorandum M-26-15 (24 Jun 2026)</t>
        </is>
      </c>
      <c r="H74" s="7" t="inlineStr">
        <is>
          <t>Medium</t>
        </is>
      </c>
      <c r="I74" s="5" t="inlineStr">
        <is>
          <t>Yes</t>
        </is>
      </c>
      <c r="J74" s="3" t="inlineStr">
        <is>
          <t>Migrate to ML-KEM-768/1024 ahead of the 2030 deadline</t>
        </is>
      </c>
    </row>
    <row r="75" ht="60" customHeight="1">
      <c r="A75" s="2" t="n">
        <v>74</v>
      </c>
      <c r="B75" s="3" t="inlineStr">
        <is>
          <t>Digital signatures not migrated to PQC before the mandated deadline</t>
        </is>
      </c>
      <c r="C75" s="3" t="inlineStr">
        <is>
          <t>Post-Quantum Readiness</t>
        </is>
      </c>
      <c r="D75" s="3" t="inlineStr">
        <is>
          <t>N/A (regulatory)</t>
        </is>
      </c>
      <c r="E75" s="3" t="inlineStr">
        <is>
          <t>Signature algorithms have a later but still firm migration deadline distinct from key-establishment.</t>
        </is>
      </c>
      <c r="F75" s="3" t="inlineStr">
        <is>
          <t>U.S. federal agencies required to migrate signatures by 2031</t>
        </is>
      </c>
      <c r="G75" s="3" t="inlineStr">
        <is>
          <t>OMB Memorandum M-26-15 (24 Jun 2026)</t>
        </is>
      </c>
      <c r="H75" s="7" t="inlineStr">
        <is>
          <t>Medium</t>
        </is>
      </c>
      <c r="I75" s="5" t="inlineStr">
        <is>
          <t>Yes</t>
        </is>
      </c>
      <c r="J75" s="3" t="inlineStr">
        <is>
          <t>Migrate to ML-DSA-65/87 or SLH-DSA ahead of the 2031 deadline</t>
        </is>
      </c>
    </row>
    <row r="76" ht="60" customHeight="1">
      <c r="A76" s="2" t="n">
        <v>75</v>
      </c>
      <c r="B76" s="3" t="inlineStr">
        <is>
          <t>Non-hybrid PQC deployment during the transition window</t>
        </is>
      </c>
      <c r="C76" s="3" t="inlineStr">
        <is>
          <t>Post-Quantum Readiness</t>
        </is>
      </c>
      <c r="D76" s="3" t="inlineStr">
        <is>
          <t>N/A (emerging risk class)</t>
        </is>
      </c>
      <c r="E76" s="3" t="inlineStr">
        <is>
          <t>Deploying a pure post-quantum algorithm with no classical fallback risks total loss of security if that specific PQC candidate is later broken.</t>
        </is>
      </c>
      <c r="F76" s="3" t="inlineStr">
        <is>
          <t>SIKE's 2022 classical break after years as a NIST finalist candidate</t>
        </is>
      </c>
      <c r="G76" s="3" t="inlineStr">
        <is>
          <t>NIST IR 8547 (transition guidance)</t>
        </is>
      </c>
      <c r="H76" s="7" t="inlineStr">
        <is>
          <t>Medium</t>
        </is>
      </c>
      <c r="I76" s="7" t="inlineStr">
        <is>
          <t>Partial</t>
        </is>
      </c>
      <c r="J76" s="3" t="inlineStr">
        <is>
          <t>Deploy hybrid classical+PQC combinations during the transition period</t>
        </is>
      </c>
    </row>
    <row r="77" ht="60" customHeight="1">
      <c r="A77" s="2" t="n">
        <v>76</v>
      </c>
      <c r="B77" s="3" t="inlineStr">
        <is>
          <t>PQC signature/handshake size causing network fragmentation and availability failure</t>
        </is>
      </c>
      <c r="C77" s="3" t="inlineStr">
        <is>
          <t>Post-Quantum Readiness</t>
        </is>
      </c>
      <c r="D77" s="3" t="inlineStr">
        <is>
          <t>N/A (original research)</t>
        </is>
      </c>
      <c r="E77" s="3" t="inlineStr">
        <is>
          <t>ML-DSA-65 signatures (3,309 bytes) are roughly 51.7x larger than ECDSA-P256 (64 bytes); combined with ML-KEM-768, a handshake can exceed the ~1,500-byte Ethernet MTU and be dropped by middleboxes enforcing strict DF-bit policies.</t>
        </is>
      </c>
      <c r="F77" s="3" t="inlineStr">
        <is>
          <t>NIST FIPS 203/204 published parameter sizes</t>
        </is>
      </c>
      <c r="G77" s="3" t="inlineStr">
        <is>
          <t>NIST FIPS 203 (ML-KEM), FIPS 204 (ML-DSA)</t>
        </is>
      </c>
      <c r="H77" s="7" t="inlineStr">
        <is>
          <t>Medium</t>
        </is>
      </c>
      <c r="I77" s="5" t="inlineStr">
        <is>
          <t>Yes</t>
        </is>
      </c>
      <c r="J77" s="3" t="inlineStr">
        <is>
          <t>Pre-flight MTU-probe production paths before enabling PQC handshakes (ECDAT's Pillar 3)</t>
        </is>
      </c>
    </row>
    <row r="78" ht="60" customHeight="1">
      <c r="A78" s="2" t="n">
        <v>77</v>
      </c>
      <c r="B78" s="3" t="inlineStr">
        <is>
          <t>No cryptographic inventory / lack of crypto-agility to respond to a future algorithm break</t>
        </is>
      </c>
      <c r="C78" s="3" t="inlineStr">
        <is>
          <t>Post-Quantum Readiness</t>
        </is>
      </c>
      <c r="D78" s="3" t="inlineStr">
        <is>
          <t>N/A (NIST guidance)</t>
        </is>
      </c>
      <c r="E78" s="3" t="inlineStr">
        <is>
          <t>Without a current, accurate inventory of what algorithms protect what data, an organization cannot respond quickly if an algorithm is broken (classical or quantum).</t>
        </is>
      </c>
      <c r="F78" s="3" t="inlineStr">
        <is>
          <t>Underlies the entire CBOM/CycloneDX crypto-asset-inventory movement</t>
        </is>
      </c>
      <c r="G78" s="3" t="inlineStr">
        <is>
          <t>NIST IR 8547; CycloneDX Cryptography specification</t>
        </is>
      </c>
      <c r="H78" s="6" t="inlineStr">
        <is>
          <t>High</t>
        </is>
      </c>
      <c r="I78" s="5" t="inlineStr">
        <is>
          <t>Yes</t>
        </is>
      </c>
      <c r="J78" s="3" t="inlineStr">
        <is>
          <t>Maintain a continuously updated Cryptography Bill of Materials (CBOM)</t>
        </is>
      </c>
    </row>
    <row r="79" ht="60" customHeight="1">
      <c r="A79" s="2" t="n">
        <v>78</v>
      </c>
      <c r="B79" s="3" t="inlineStr">
        <is>
          <t>Fixed-size buffers that overflow when classical primitives are swapped for PQC equivalents</t>
        </is>
      </c>
      <c r="C79" s="3" t="inlineStr">
        <is>
          <t>Post-Quantum Readiness</t>
        </is>
      </c>
      <c r="D79" s="3" t="inlineStr">
        <is>
          <t>N/A (original research)</t>
        </is>
      </c>
      <c r="E79" s="3" t="inlineStr">
        <is>
          <t>Code that allocates a fixed buffer sized for a 64-byte ECDSA signature will overflow or truncate a 3,309-byte ML-DSA-65 signature.</t>
        </is>
      </c>
      <c r="F79" s="3" t="inlineStr">
        <is>
          <t>NIST FIPS 204 published ML-DSA-65 signature size (3,309 bytes)</t>
        </is>
      </c>
      <c r="G79" s="3" t="inlineStr">
        <is>
          <t>NIST FIPS 204</t>
        </is>
      </c>
      <c r="H79" s="7" t="inlineStr">
        <is>
          <t>Medium</t>
        </is>
      </c>
      <c r="I79" s="5" t="inlineStr">
        <is>
          <t>Yes</t>
        </is>
      </c>
      <c r="J79" s="3" t="inlineStr">
        <is>
          <t>Audit fixed-size cryptographic buffers before migration (ECDAT's buffer-hazard auditor)</t>
        </is>
      </c>
    </row>
    <row r="80" ht="60" customHeight="1">
      <c r="A80" s="2" t="n">
        <v>79</v>
      </c>
      <c r="B80" s="3" t="inlineStr">
        <is>
          <t>Continued vendor procurement without a CBOM requirement</t>
        </is>
      </c>
      <c r="C80" s="3" t="inlineStr">
        <is>
          <t>Post-Quantum Readiness</t>
        </is>
      </c>
      <c r="D80" s="3" t="inlineStr">
        <is>
          <t>N/A (regulatory / procurement guidance)</t>
        </is>
      </c>
      <c r="E80" s="3" t="inlineStr">
        <is>
          <t>Without requiring vendors to disclose a Cryptography Bill of Materials, an organization cannot verify third-party software's PQC readiness before it becomes a supply-chain liability.</t>
        </is>
      </c>
      <c r="F80" s="3" t="inlineStr">
        <is>
          <t>India's National Quantum Mission roadmap recommends vendor CBOM submission from FY2027-28</t>
        </is>
      </c>
      <c r="G80" s="3" t="inlineStr">
        <is>
          <t>DST/National Quantum Mission, 'Quantum-Safe Ecosystem in India' (May 2026)</t>
        </is>
      </c>
      <c r="H80" s="7" t="inlineStr">
        <is>
          <t>Medium</t>
        </is>
      </c>
      <c r="I80" s="5" t="inlineStr">
        <is>
          <t>Yes</t>
        </is>
      </c>
      <c r="J80" s="3" t="inlineStr">
        <is>
          <t>Require a signed CBOM as part of vendor security assessment/procurement</t>
        </is>
      </c>
    </row>
    <row r="81" ht="60" customHeight="1">
      <c r="A81" s="2" t="n">
        <v>80</v>
      </c>
      <c r="B81" s="3" t="inlineStr">
        <is>
          <t>Password stored as a fast, unsalted hash</t>
        </is>
      </c>
      <c r="C81" s="3" t="inlineStr">
        <is>
          <t>Misuse Pattern</t>
        </is>
      </c>
      <c r="D81" s="3" t="inlineStr">
        <is>
          <t>CWE-759 / CWE-760</t>
        </is>
      </c>
      <c r="E81" s="3" t="inlineStr">
        <is>
          <t>Unsalted hashes are vulnerable to precomputed rainbow-table lookups across every user in a breach simultaneously.</t>
        </is>
      </c>
      <c r="F81" s="3" t="inlineStr">
        <is>
          <t>LinkedIn 2012 breach (117M unsalted SHA-1 password hashes)</t>
        </is>
      </c>
      <c r="G81" s="3" t="inlineStr">
        <is>
          <t>OWASP Password Storage Cheat Sheet</t>
        </is>
      </c>
      <c r="H81" s="4" t="inlineStr">
        <is>
          <t>Critical</t>
        </is>
      </c>
      <c r="I81" s="5" t="inlineStr">
        <is>
          <t>Yes</t>
        </is>
      </c>
      <c r="J81" s="3" t="inlineStr">
        <is>
          <t>Use a salted, slow KDF (Argon2id, bcrypt, or scrypt)</t>
        </is>
      </c>
    </row>
    <row r="82" ht="60" customHeight="1">
      <c r="A82" s="2" t="n">
        <v>81</v>
      </c>
      <c r="B82" s="3" t="inlineStr">
        <is>
          <t>Password compared using non-constant-time string equality</t>
        </is>
      </c>
      <c r="C82" s="3" t="inlineStr">
        <is>
          <t>Misuse Pattern</t>
        </is>
      </c>
      <c r="D82" s="3" t="inlineStr">
        <is>
          <t>CWE-208</t>
        </is>
      </c>
      <c r="E82" s="3" t="inlineStr">
        <is>
          <t>A naive == comparison leaks timing information proportional to the number of matching leading characters.</t>
        </is>
      </c>
      <c r="F82" s="3" t="inlineStr">
        <is>
          <t>CWE-208, 'Observable Timing Discrepancy'</t>
        </is>
      </c>
      <c r="G82" s="3" t="inlineStr">
        <is>
          <t>CWE-208</t>
        </is>
      </c>
      <c r="H82" s="7" t="inlineStr">
        <is>
          <t>Medium</t>
        </is>
      </c>
      <c r="I82" s="8" t="inlineStr">
        <is>
          <t>No</t>
        </is>
      </c>
      <c r="J82" s="3" t="inlineStr">
        <is>
          <t>Use a constant-time comparison function for all secret comparisons</t>
        </is>
      </c>
    </row>
    <row r="83" ht="60" customHeight="1">
      <c r="A83" s="2" t="n">
        <v>82</v>
      </c>
      <c r="B83" s="3" t="inlineStr">
        <is>
          <t>Weak randomness masked by reuse for both security and non-security purposes</t>
        </is>
      </c>
      <c r="C83" s="3" t="inlineStr">
        <is>
          <t>Misuse Pattern</t>
        </is>
      </c>
      <c r="D83" s="3" t="inlineStr">
        <is>
          <t>CWE-330 (related)</t>
        </is>
      </c>
      <c r="E83" s="3" t="inlineStr">
        <is>
          <t>Using the same weak PRNG instance for UI shuffling and for token generation means fixing the obvious bug can leave the security-relevant use unnoticed.</t>
        </is>
      </c>
      <c r="F83" s="3" t="inlineStr">
        <is>
          <t>CWE-330 family</t>
        </is>
      </c>
      <c r="G83" s="3" t="inlineStr">
        <is>
          <t>CWE-330</t>
        </is>
      </c>
      <c r="H83" s="5" t="inlineStr">
        <is>
          <t>Low</t>
        </is>
      </c>
      <c r="I83" s="8" t="inlineStr">
        <is>
          <t>No</t>
        </is>
      </c>
      <c r="J83" s="3" t="inlineStr">
        <is>
          <t>Use a CSPRNG exclusively for any security-relevant randomness</t>
        </is>
      </c>
    </row>
    <row r="84" ht="60" customHeight="1">
      <c r="A84" s="2" t="n">
        <v>83</v>
      </c>
      <c r="B84" s="3" t="inlineStr">
        <is>
          <t>Insufficient key length relative to long-term data sensitivity</t>
        </is>
      </c>
      <c r="C84" s="3" t="inlineStr">
        <is>
          <t>Misuse Pattern</t>
        </is>
      </c>
      <c r="D84" s="3" t="inlineStr">
        <is>
          <t>CWE-326</t>
        </is>
      </c>
      <c r="E84" s="3" t="inlineStr">
        <is>
          <t>128-bit symmetric security may be adequate classically but leaves a reduced margin under Grover's quantum speedup for the most sensitive, longest-lived data.</t>
        </is>
      </c>
      <c r="F84" s="3" t="inlineStr">
        <is>
          <t>NIST SP 800-57 Part 1 strength-equivalence tables</t>
        </is>
      </c>
      <c r="G84" s="3" t="inlineStr">
        <is>
          <t>NIST SP 800-57 Part 1 Rev.5</t>
        </is>
      </c>
      <c r="H84" s="7" t="inlineStr">
        <is>
          <t>Medium</t>
        </is>
      </c>
      <c r="I84" s="7" t="inlineStr">
        <is>
          <t>Partial</t>
        </is>
      </c>
      <c r="J84" s="3" t="inlineStr">
        <is>
          <t>Use AES-256 for data with multi-decade confidentiality requirements</t>
        </is>
      </c>
    </row>
    <row r="85" ht="60" customHeight="1">
      <c r="A85" s="2" t="n">
        <v>84</v>
      </c>
      <c r="B85" s="3" t="inlineStr">
        <is>
          <t>Mismatched security levels across algorithms in one protocol</t>
        </is>
      </c>
      <c r="C85" s="3" t="inlineStr">
        <is>
          <t>Misuse Pattern</t>
        </is>
      </c>
      <c r="D85" s="3" t="inlineStr">
        <is>
          <t>CWE-326 (related)</t>
        </is>
      </c>
      <c r="E85" s="3" t="inlineStr">
        <is>
          <t>Pairing a strong symmetric cipher with a comparatively weak asymmetric key-exchange (e.g. AES-256 with RSA-1024) means the weaker component sets the true security level.</t>
        </is>
      </c>
      <c r="F85" s="3" t="inlineStr">
        <is>
          <t>NIST SP 800-57 Part 1, balanced-strength guidance</t>
        </is>
      </c>
      <c r="G85" s="3" t="inlineStr">
        <is>
          <t>NIST SP 800-57 Part 1 Rev.5</t>
        </is>
      </c>
      <c r="H85" s="7" t="inlineStr">
        <is>
          <t>Medium</t>
        </is>
      </c>
      <c r="I85" s="7" t="inlineStr">
        <is>
          <t>Partial</t>
        </is>
      </c>
      <c r="J85" s="3" t="inlineStr">
        <is>
          <t>Match key strengths across all algorithms in a given protocol</t>
        </is>
      </c>
    </row>
    <row r="86" ht="60" customHeight="1">
      <c r="A86" s="2" t="n">
        <v>85</v>
      </c>
      <c r="B86" s="3" t="inlineStr">
        <is>
          <t>Cryptographic key/secret written to application logs</t>
        </is>
      </c>
      <c r="C86" s="3" t="inlineStr">
        <is>
          <t>Misuse Pattern</t>
        </is>
      </c>
      <c r="D86" s="3" t="inlineStr">
        <is>
          <t>CWE-532 (related)</t>
        </is>
      </c>
      <c r="E86" s="3" t="inlineStr">
        <is>
          <t>Debug or error-handling code that logs full request/response payloads can inadvertently persist secrets in plaintext log files.</t>
        </is>
      </c>
      <c r="F86" s="3" t="inlineStr">
        <is>
          <t>CWE-532, 'Insertion of Sensitive Information into Log File'</t>
        </is>
      </c>
      <c r="G86" s="3" t="inlineStr">
        <is>
          <t>CWE-532</t>
        </is>
      </c>
      <c r="H86" s="6" t="inlineStr">
        <is>
          <t>High</t>
        </is>
      </c>
      <c r="I86" s="8" t="inlineStr">
        <is>
          <t>No</t>
        </is>
      </c>
      <c r="J86" s="3" t="inlineStr">
        <is>
          <t>Redact or exclude cryptographic material from all logging paths</t>
        </is>
      </c>
    </row>
    <row r="87" ht="60" customHeight="1">
      <c r="A87" s="2" t="n">
        <v>86</v>
      </c>
      <c r="B87" s="3" t="inlineStr">
        <is>
          <t>Sensitive cryptographic detail exposed via verbose error messages</t>
        </is>
      </c>
      <c r="C87" s="3" t="inlineStr">
        <is>
          <t>Misuse Pattern</t>
        </is>
      </c>
      <c r="D87" s="3" t="inlineStr">
        <is>
          <t>N/A (OWASP guidance)</t>
        </is>
      </c>
      <c r="E87" s="3" t="inlineStr">
        <is>
          <t>Detailed decryption-failure or padding-error messages are exactly the oracle that padding-oracle attacks (Bleichenbacher, POODLE, Lucky13) exploit.</t>
        </is>
      </c>
      <c r="F87" s="3" t="inlineStr">
        <is>
          <t>OWASP Top 10:2025 A04 explicitly lists 'exploitable crypto error messages' as a root cause</t>
        </is>
      </c>
      <c r="G87" s="3" t="inlineStr">
        <is>
          <t>OWASP A04:2025</t>
        </is>
      </c>
      <c r="H87" s="7" t="inlineStr">
        <is>
          <t>Medium</t>
        </is>
      </c>
      <c r="I87" s="8" t="inlineStr">
        <is>
          <t>No</t>
        </is>
      </c>
      <c r="J87" s="3" t="inlineStr">
        <is>
          <t>Return generic, uniform error messages for all decryption/verification failures</t>
        </is>
      </c>
    </row>
    <row r="88" ht="60" customHeight="1">
      <c r="A88" s="2" t="n">
        <v>87</v>
      </c>
      <c r="B88" s="3" t="inlineStr">
        <is>
          <t>Cleartext transmission of sensitive data with no TLS/encryption at all</t>
        </is>
      </c>
      <c r="C88" s="3" t="inlineStr">
        <is>
          <t>Misuse Pattern</t>
        </is>
      </c>
      <c r="D88" s="3" t="inlineStr">
        <is>
          <t>CWE-319</t>
        </is>
      </c>
      <c r="E88" s="3" t="inlineStr">
        <is>
          <t>Data sent in the clear over a network is trivially interceptable by anyone with passive network access.</t>
        </is>
      </c>
      <c r="F88" s="3" t="inlineStr">
        <is>
          <t>CWE-319 is one of the most frequently observed real-world findings in web-app assessments</t>
        </is>
      </c>
      <c r="G88" s="3" t="inlineStr">
        <is>
          <t>CWE-319; OWASP A04:2025 explicit CWE mapping</t>
        </is>
      </c>
      <c r="H88" s="4" t="inlineStr">
        <is>
          <t>Critical</t>
        </is>
      </c>
      <c r="I88" s="7" t="inlineStr">
        <is>
          <t>Partial</t>
        </is>
      </c>
      <c r="J88" s="3" t="inlineStr">
        <is>
          <t>Enforce TLS/HTTPS for all network transmission of sensitive data</t>
        </is>
      </c>
    </row>
    <row r="89" ht="60" customHeight="1">
      <c r="A89" s="2" t="n">
        <v>88</v>
      </c>
      <c r="B89" s="3" t="inlineStr">
        <is>
          <t>Certificate/TLS verification explicitly disabled 'for convenience' (verify=False)</t>
        </is>
      </c>
      <c r="C89" s="3" t="inlineStr">
        <is>
          <t>Misuse Pattern</t>
        </is>
      </c>
      <c r="D89" s="3" t="inlineStr">
        <is>
          <t>CWE-295 (related)</t>
        </is>
      </c>
      <c r="E89" s="3" t="inlineStr">
        <is>
          <t>A common development-time shortcut that is frequently accidentally shipped to production.</t>
        </is>
      </c>
      <c r="F89" s="3" t="inlineStr">
        <is>
          <t>Numerous real CVEs across HTTP client libraries for shipping this pattern by default</t>
        </is>
      </c>
      <c r="G89" s="3" t="inlineStr">
        <is>
          <t>CWE-295</t>
        </is>
      </c>
      <c r="H89" s="4" t="inlineStr">
        <is>
          <t>Critical</t>
        </is>
      </c>
      <c r="I89" s="5" t="inlineStr">
        <is>
          <t>Yes</t>
        </is>
      </c>
      <c r="J89" s="3" t="inlineStr">
        <is>
          <t>Never disable TLS verification outside a clearly gated test-only code path</t>
        </is>
      </c>
    </row>
    <row r="90" ht="60" customHeight="1">
      <c r="A90" s="2" t="n">
        <v>89</v>
      </c>
      <c r="B90" s="3" t="inlineStr">
        <is>
          <t>Deprecated TLS 1.0/1.1 still enabled or negotiable</t>
        </is>
      </c>
      <c r="C90" s="3" t="inlineStr">
        <is>
          <t>Misuse Pattern</t>
        </is>
      </c>
      <c r="D90" s="3" t="inlineStr">
        <is>
          <t>CWE-327 (related)</t>
        </is>
      </c>
      <c r="E90" s="3" t="inlineStr">
        <is>
          <t>TLS 1.0/1.1 lack modern AEAD cipher suites and are formally deprecated by IETF RFC 8996 (2021).</t>
        </is>
      </c>
      <c r="F90" s="3" t="inlineStr">
        <is>
          <t>IETF RFC 8996, 'Deprecating TLS 1.0 and TLS 1.1' (March 2021)</t>
        </is>
      </c>
      <c r="G90" s="3" t="inlineStr">
        <is>
          <t>RFC 8996; NIST SP 800-52 Rev.2</t>
        </is>
      </c>
      <c r="H90" s="7" t="inlineStr">
        <is>
          <t>Medium</t>
        </is>
      </c>
      <c r="I90" s="7" t="inlineStr">
        <is>
          <t>Partial</t>
        </is>
      </c>
      <c r="J90" s="3" t="inlineStr">
        <is>
          <t>Disable TLS 1.0/1.1; support only TLS 1.2 and 1.3</t>
        </is>
      </c>
    </row>
    <row r="91" ht="60" customHeight="1">
      <c r="A91" s="2" t="n">
        <v>90</v>
      </c>
      <c r="B91" s="3" t="inlineStr">
        <is>
          <t>Symmetric key transmitted alongside its ciphertext over the same channel</t>
        </is>
      </c>
      <c r="C91" s="3" t="inlineStr">
        <is>
          <t>Misuse Pattern</t>
        </is>
      </c>
      <c r="D91" s="3" t="inlineStr">
        <is>
          <t>N/A (design flaw)</t>
        </is>
      </c>
      <c r="E91" s="3" t="inlineStr">
        <is>
          <t>Defeats the purpose of encryption entirely if an eavesdropper can capture both the key and the protected data in one pass.</t>
        </is>
      </c>
      <c r="F91" s="3" t="inlineStr">
        <is>
          <t>General cryptographic design-flaw pattern</t>
        </is>
      </c>
      <c r="G91" s="3" t="inlineStr">
        <is>
          <t>NIST SP 800-57 Part 1 (key-transport guidance)</t>
        </is>
      </c>
      <c r="H91" s="4" t="inlineStr">
        <is>
          <t>Critical</t>
        </is>
      </c>
      <c r="I91" s="8" t="inlineStr">
        <is>
          <t>No</t>
        </is>
      </c>
      <c r="J91" s="3" t="inlineStr">
        <is>
          <t>Use an out-of-band key-exchange mechanism (e.g. asymmetric key wrapping)</t>
        </is>
      </c>
    </row>
    <row r="92" ht="60" customHeight="1">
      <c r="A92" s="2" t="n">
        <v>91</v>
      </c>
      <c r="B92" s="3" t="inlineStr">
        <is>
          <t>Dual_EC_DRBG or other backdoor-suspected PRNG in active use</t>
        </is>
      </c>
      <c r="C92" s="3" t="inlineStr">
        <is>
          <t>Misuse Pattern</t>
        </is>
      </c>
      <c r="D92" s="3" t="inlineStr">
        <is>
          <t>CWE-338 (related)</t>
        </is>
      </c>
      <c r="E92" s="3" t="inlineStr">
        <is>
          <t>A 2013 disclosure showed the NIST-standardized Dual_EC_DRBG likely contained an NSA-inserted backdoor; it was formally deprecated in 2014.</t>
        </is>
      </c>
      <c r="F92" s="3" t="inlineStr">
        <is>
          <t>Juniper ScreenOS incident (unauthorized code changes exploiting Dual_EC_DRBG, publicly disclosed 2015)</t>
        </is>
      </c>
      <c r="G92" s="3" t="inlineStr">
        <is>
          <t>NIST SP 800-90A Rev.1 (Dual_EC_DRBG removed, 2014); Juniper Networks security advisory, Dec 2015</t>
        </is>
      </c>
      <c r="H92" s="4" t="inlineStr">
        <is>
          <t>Critical</t>
        </is>
      </c>
      <c r="I92" s="8" t="inlineStr">
        <is>
          <t>No</t>
        </is>
      </c>
      <c r="J92" s="3" t="inlineStr">
        <is>
          <t>Remove any remaining Dual_EC_DRBG usage; verify current PRNG selection against NIST SP 800-90A Rev.1</t>
        </is>
      </c>
    </row>
    <row r="93" ht="60" customHeight="1">
      <c r="A93" s="2" t="n">
        <v>92</v>
      </c>
      <c r="B93" s="3" t="inlineStr">
        <is>
          <t>KRACK — WPA2 4-way handshake nonce/key reinstallation</t>
        </is>
      </c>
      <c r="C93" s="3" t="inlineStr">
        <is>
          <t>Misuse Pattern / Protocol</t>
        </is>
      </c>
      <c r="D93" s="3" t="inlineStr">
        <is>
          <t>CWE-323 (related)</t>
        </is>
      </c>
      <c r="E93" s="3" t="inlineStr">
        <is>
          <t>Manipulating handshake message retransmission tricks a client into reinstalling an already-used encryption key, resetting its nonce counter.</t>
        </is>
      </c>
      <c r="F93" s="3" t="inlineStr">
        <is>
          <t>CVE-2017-13077 and related CVEs across the WPA2 handshake CVE family</t>
        </is>
      </c>
      <c r="G93" s="3" t="inlineStr">
        <is>
          <t>CVE-2017-13077; Vanhoef &amp; Piessens, CCS 2017</t>
        </is>
      </c>
      <c r="H93" s="6" t="inlineStr">
        <is>
          <t>High</t>
        </is>
      </c>
      <c r="I93" s="8" t="inlineStr">
        <is>
          <t>No</t>
        </is>
      </c>
      <c r="J93" s="3" t="inlineStr">
        <is>
          <t>Patch WPA2 implementations per vendor advisories; prefer WPA3 where available</t>
        </is>
      </c>
    </row>
    <row r="94" ht="60" customHeight="1">
      <c r="A94" s="2" t="n">
        <v>93</v>
      </c>
      <c r="B94" s="3" t="inlineStr">
        <is>
          <t>Efail — S/MIME and OpenPGP email decryption exfiltration</t>
        </is>
      </c>
      <c r="C94" s="3" t="inlineStr">
        <is>
          <t>Misuse Pattern / Protocol</t>
        </is>
      </c>
      <c r="D94" s="3" t="inlineStr">
        <is>
          <t>CWE-353 (related)</t>
        </is>
      </c>
      <c r="E94" s="3" t="inlineStr">
        <is>
          <t>Exploits the lack of integrity protection in email encryption standards to exfiltrate decrypted plaintext via injected HTML.</t>
        </is>
      </c>
      <c r="F94" s="3" t="inlineStr">
        <is>
          <t>CVE-2017-17688, CVE-2017-17689</t>
        </is>
      </c>
      <c r="G94" s="3" t="inlineStr">
        <is>
          <t>Müller et al., USENIX Security 2018 ('Efail')</t>
        </is>
      </c>
      <c r="H94" s="7" t="inlineStr">
        <is>
          <t>Medium</t>
        </is>
      </c>
      <c r="I94" s="8" t="inlineStr">
        <is>
          <t>No</t>
        </is>
      </c>
      <c r="J94" s="3" t="inlineStr">
        <is>
          <t>Disable automatic HTML rendering of decrypted email; patch affected MUA clients</t>
        </is>
      </c>
    </row>
    <row r="95" ht="60" customHeight="1">
      <c r="A95" s="2" t="n">
        <v>94</v>
      </c>
      <c r="B95" s="3" t="inlineStr">
        <is>
          <t>Cache-timing side-channel in table-based AES software implementations</t>
        </is>
      </c>
      <c r="C95" s="3" t="inlineStr">
        <is>
          <t>Misuse Pattern / Implementation</t>
        </is>
      </c>
      <c r="D95" s="3" t="inlineStr">
        <is>
          <t>CWE-1254 (related)</t>
        </is>
      </c>
      <c r="E95" s="3" t="inlineStr">
        <is>
          <t>Naive table-lookup AES implementations leak key bits through CPU cache-access timing observable by a co-located process.</t>
        </is>
      </c>
      <c r="F95" s="3" t="inlineStr">
        <is>
          <t>Bernstein, 'Cache-Timing Attacks on AES' (2005, first practical demonstration)</t>
        </is>
      </c>
      <c r="G95" s="3" t="inlineStr">
        <is>
          <t>Bernstein, 2005 (widely cited foundational paper)</t>
        </is>
      </c>
      <c r="H95" s="7" t="inlineStr">
        <is>
          <t>Medium</t>
        </is>
      </c>
      <c r="I95" s="8" t="inlineStr">
        <is>
          <t>No</t>
        </is>
      </c>
      <c r="J95" s="3" t="inlineStr">
        <is>
          <t>Use hardware AES-NI instructions or a verified constant-time software implementation</t>
        </is>
      </c>
    </row>
    <row r="96" ht="60" customHeight="1">
      <c r="A96" s="2" t="n">
        <v>95</v>
      </c>
      <c r="B96" s="3" t="inlineStr">
        <is>
          <t>Single global encryption key protecting an entire database (‘one key to rule them all’)</t>
        </is>
      </c>
      <c r="C96" s="3" t="inlineStr">
        <is>
          <t>Misuse Pattern</t>
        </is>
      </c>
      <c r="D96" s="3" t="inlineStr">
        <is>
          <t>N/A (architectural pattern)</t>
        </is>
      </c>
      <c r="E96" s="3" t="inlineStr">
        <is>
          <t>Maximizes blast radius — one key compromise exposes every record in the database rather than a bounded subset.</t>
        </is>
      </c>
      <c r="F96" s="3" t="inlineStr">
        <is>
          <t>Directly analogous to ECDAT's superspreader concept applied at the data layer rather than the service layer</t>
        </is>
      </c>
      <c r="G96" s="3" t="inlineStr">
        <is>
          <t>NIST SP 800-57 Part 1 (key hierarchy / scoping guidance)</t>
        </is>
      </c>
      <c r="H96" s="6" t="inlineStr">
        <is>
          <t>High</t>
        </is>
      </c>
      <c r="I96" s="5" t="inlineStr">
        <is>
          <t>Yes</t>
        </is>
      </c>
      <c r="J96" s="3" t="inlineStr">
        <is>
          <t>Use per-tenant or per-record key derivation (envelope encryption) rather than one global key</t>
        </is>
      </c>
    </row>
    <row r="97" ht="60" customHeight="1">
      <c r="A97" s="2" t="n">
        <v>96</v>
      </c>
      <c r="B97" s="3" t="inlineStr">
        <is>
          <t>Missing input validation before a cryptographic operation, enabling algorithm-confusion</t>
        </is>
      </c>
      <c r="C97" s="3" t="inlineStr">
        <is>
          <t>Misuse Pattern</t>
        </is>
      </c>
      <c r="D97" s="3" t="inlineStr">
        <is>
          <t>CWE-20 (related)</t>
        </is>
      </c>
      <c r="E97" s="3" t="inlineStr">
        <is>
          <t>Failing to validate which algorithm/key type is in play before performing a cryptographic operation opens the door to confusion attacks like the JWT HS256/RS256 case (row 55).</t>
        </is>
      </c>
      <c r="F97" s="3" t="inlineStr">
        <is>
          <t>General secure-coding guidance; direct root cause of the 2015 JWT algorithm-confusion disclosures</t>
        </is>
      </c>
      <c r="G97" s="3" t="inlineStr">
        <is>
          <t>CWE-20; Auth0 security research, 2015</t>
        </is>
      </c>
      <c r="H97" s="6" t="inlineStr">
        <is>
          <t>High</t>
        </is>
      </c>
      <c r="I97" s="7" t="inlineStr">
        <is>
          <t>Partial</t>
        </is>
      </c>
      <c r="J97" s="3" t="inlineStr">
        <is>
          <t>Explicitly validate and pin the expected algorithm/key type before every cryptographic operation</t>
        </is>
      </c>
    </row>
    <row r="98" ht="60" customHeight="1">
      <c r="A98" s="2" t="n">
        <v>97</v>
      </c>
      <c r="B98" s="3" t="inlineStr">
        <is>
          <t>Deprecated export-grade cipher suites still configured on a production server</t>
        </is>
      </c>
      <c r="C98" s="3" t="inlineStr">
        <is>
          <t>Misuse Pattern</t>
        </is>
      </c>
      <c r="D98" s="3" t="inlineStr">
        <is>
          <t>CWE-327</t>
        </is>
      </c>
      <c r="E98" s="3" t="inlineStr">
        <is>
          <t>Leftover 1990s-era US export-restricted cipher suites (typically 40/56-bit) remain enabled in default configurations of some legacy servers.</t>
        </is>
      </c>
      <c r="F98" s="3" t="inlineStr">
        <is>
          <t>Directly enables the FREAK attack (row 65)</t>
        </is>
      </c>
      <c r="G98" s="3" t="inlineStr">
        <is>
          <t>CWE-327; CVE-2015-0204</t>
        </is>
      </c>
      <c r="H98" s="6" t="inlineStr">
        <is>
          <t>High</t>
        </is>
      </c>
      <c r="I98" s="7" t="inlineStr">
        <is>
          <t>Partial</t>
        </is>
      </c>
      <c r="J98" s="3" t="inlineStr">
        <is>
          <t>Remove all EXPORT-grade cipher suites from server TLS configuration</t>
        </is>
      </c>
    </row>
    <row r="99" ht="60" customHeight="1">
      <c r="A99" s="2" t="n">
        <v>98</v>
      </c>
      <c r="B99" s="3" t="inlineStr">
        <is>
          <t>Insecure randomness in an OAuth2/OIDC 'state' parameter</t>
        </is>
      </c>
      <c r="C99" s="3" t="inlineStr">
        <is>
          <t>Misuse Pattern</t>
        </is>
      </c>
      <c r="D99" s="3" t="inlineStr">
        <is>
          <t>CWE-330 (related)</t>
        </is>
      </c>
      <c r="E99" s="3" t="inlineStr">
        <is>
          <t>A predictable state value undermines the parameter's purpose of preventing cross-site request forgery in the OAuth authorization flow.</t>
        </is>
      </c>
      <c r="F99" s="3" t="inlineStr">
        <is>
          <t>RFC 6749 §10.12 explicitly warns about this exact failure mode</t>
        </is>
      </c>
      <c r="G99" s="3" t="inlineStr">
        <is>
          <t>RFC 6749 §10.12 (OAuth 2.0 security considerations)</t>
        </is>
      </c>
      <c r="H99" s="7" t="inlineStr">
        <is>
          <t>Medium</t>
        </is>
      </c>
      <c r="I99" s="8" t="inlineStr">
        <is>
          <t>No</t>
        </is>
      </c>
      <c r="J99" s="3" t="inlineStr">
        <is>
          <t>Generate the state parameter with a CSPRNG, and validate it strictly on callback</t>
        </is>
      </c>
    </row>
    <row r="100" ht="60" customHeight="1">
      <c r="A100" s="2" t="n">
        <v>99</v>
      </c>
      <c r="B100" s="3" t="inlineStr">
        <is>
          <t>Password/secret truncated silently by a legacy hashing function's input limit</t>
        </is>
      </c>
      <c r="C100" s="3" t="inlineStr">
        <is>
          <t>Misuse Pattern</t>
        </is>
      </c>
      <c r="D100" s="3" t="inlineStr">
        <is>
          <t>CWE-326 (related)</t>
        </is>
      </c>
      <c r="E100" s="3" t="inlineStr">
        <is>
          <t>Some hash/KDF implementations (e.g. classic bcrypt's 72-byte limit) silently ignore input beyond a fixed length, reducing effective password entropy without any error.</t>
        </is>
      </c>
      <c r="F100" s="3" t="inlineStr">
        <is>
          <t>Documented behavior of the original bcrypt specification (Provos &amp; Mazières, 1999)</t>
        </is>
      </c>
      <c r="G100" s="3" t="inlineStr">
        <is>
          <t>Provos &amp; Mazières, USENIX 1999 ('A Future-Adaptable Password Scheme')</t>
        </is>
      </c>
      <c r="H100" s="5" t="inlineStr">
        <is>
          <t>Low</t>
        </is>
      </c>
      <c r="I100" s="8" t="inlineStr">
        <is>
          <t>No</t>
        </is>
      </c>
      <c r="J100" s="3" t="inlineStr">
        <is>
          <t>Pre-hash long inputs with SHA-256 before passing to a length-limited KDF, or use Argon2id (no such limit)</t>
        </is>
      </c>
    </row>
    <row r="101" ht="60" customHeight="1">
      <c r="A101" s="2" t="n">
        <v>100</v>
      </c>
      <c r="B101" s="3" t="inlineStr">
        <is>
          <t>Weak or missing integrity protection on serialized/deserialized cryptographic objects</t>
        </is>
      </c>
      <c r="C101" s="3" t="inlineStr">
        <is>
          <t>Misuse Pattern</t>
        </is>
      </c>
      <c r="D101" s="3" t="inlineStr">
        <is>
          <t>CWE-502 (related)</t>
        </is>
      </c>
      <c r="E101" s="3" t="inlineStr">
        <is>
          <t>Deserializing an attacker-controlled object that carries embedded cryptographic material (keys, tokens) without an integrity check can lead to object-injection or key-substitution attacks.</t>
        </is>
      </c>
      <c r="F101" s="3" t="inlineStr">
        <is>
          <t>CWE-502, 'Deserialization of Untrusted Data', frequently chained with cryptographic material in real advisories</t>
        </is>
      </c>
      <c r="G101" s="3" t="inlineStr">
        <is>
          <t>CWE-502</t>
        </is>
      </c>
      <c r="H101" s="6" t="inlineStr">
        <is>
          <t>High</t>
        </is>
      </c>
      <c r="I101" s="8" t="inlineStr">
        <is>
          <t>No</t>
        </is>
      </c>
      <c r="J101" s="3" t="inlineStr">
        <is>
          <t>Sign or authenticate serialized objects before deserializing; never deserialize untrusted cryptographic material directly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" customWidth="1" min="3" max="3"/>
    <col width="34" customWidth="1" min="4" max="4"/>
    <col width="12" customWidth="1" min="5" max="5"/>
  </cols>
  <sheetData>
    <row r="1">
      <c r="A1" s="9" t="inlineStr">
        <is>
          <t>ECDAT — Top 100 Cryptographic Vulnerabilities: Summary Dashboard</t>
        </is>
      </c>
    </row>
    <row r="2">
      <c r="A2" s="10" t="inlineStr">
        <is>
          <t>All figures below are live formulas referencing the 'Top 100 Vulnerabilities' sheet — they recalculate automatically if rows change.</t>
        </is>
      </c>
    </row>
    <row r="4">
      <c r="A4" s="11" t="inlineStr">
        <is>
          <t>By Severity</t>
        </is>
      </c>
      <c r="D4" s="11" t="inlineStr">
        <is>
          <t>By ECDAT Detection Status</t>
        </is>
      </c>
    </row>
    <row r="5">
      <c r="A5" s="12" t="inlineStr">
        <is>
          <t>Severity</t>
        </is>
      </c>
      <c r="B5" s="12" t="inlineStr">
        <is>
          <t>Count</t>
        </is>
      </c>
      <c r="D5" s="12" t="inlineStr">
        <is>
          <t>Status</t>
        </is>
      </c>
      <c r="E5" s="12" t="inlineStr">
        <is>
          <t>Count</t>
        </is>
      </c>
    </row>
    <row r="6">
      <c r="A6" s="13" t="inlineStr">
        <is>
          <t>Critical</t>
        </is>
      </c>
      <c r="B6" s="14">
        <f>COUNTIF('Top 100 Vulnerabilities'!$H$2:$H$101,A6)</f>
        <v/>
      </c>
      <c r="D6" s="15" t="inlineStr">
        <is>
          <t>Yes</t>
        </is>
      </c>
      <c r="E6" s="14">
        <f>COUNTIF('Top 100 Vulnerabilities'!$I$2:$I$101,D6)</f>
        <v/>
      </c>
    </row>
    <row r="7">
      <c r="A7" s="16" t="inlineStr">
        <is>
          <t>High</t>
        </is>
      </c>
      <c r="B7" s="14">
        <f>COUNTIF('Top 100 Vulnerabilities'!$H$2:$H$101,A7)</f>
        <v/>
      </c>
      <c r="D7" s="17" t="inlineStr">
        <is>
          <t>Partial</t>
        </is>
      </c>
      <c r="E7" s="14">
        <f>COUNTIF('Top 100 Vulnerabilities'!$I$2:$I$101,D7)</f>
        <v/>
      </c>
    </row>
    <row r="8">
      <c r="A8" s="17" t="inlineStr">
        <is>
          <t>Medium</t>
        </is>
      </c>
      <c r="B8" s="14">
        <f>COUNTIF('Top 100 Vulnerabilities'!$H$2:$H$101,A8)</f>
        <v/>
      </c>
      <c r="D8" s="18" t="inlineStr">
        <is>
          <t>No</t>
        </is>
      </c>
      <c r="E8" s="14">
        <f>COUNTIF('Top 100 Vulnerabilities'!$I$2:$I$101,D8)</f>
        <v/>
      </c>
    </row>
    <row r="9">
      <c r="A9" s="15" t="inlineStr">
        <is>
          <t>Low</t>
        </is>
      </c>
      <c r="B9" s="14">
        <f>COUNTIF('Top 100 Vulnerabilities'!$H$2:$H$101,A9)</f>
        <v/>
      </c>
      <c r="D9" s="19" t="inlineStr">
        <is>
          <t>Total</t>
        </is>
      </c>
      <c r="E9" s="19">
        <f>SUM(E6:E8)</f>
        <v/>
      </c>
    </row>
    <row r="10">
      <c r="A10" s="19" t="inlineStr">
        <is>
          <t>Total</t>
        </is>
      </c>
      <c r="B10" s="19">
        <f>SUM(B6:B9)</f>
        <v/>
      </c>
    </row>
    <row r="11">
      <c r="A11" s="11" t="inlineStr">
        <is>
          <t>By Category</t>
        </is>
      </c>
      <c r="D11" s="19" t="inlineStr">
        <is>
          <t>Full + Partial Coverage %</t>
        </is>
      </c>
      <c r="E11" s="20">
        <f>(E6+E7)/E9</f>
        <v/>
      </c>
    </row>
    <row r="12">
      <c r="A12" s="12" t="inlineStr">
        <is>
          <t>Category</t>
        </is>
      </c>
      <c r="B12" s="12" t="inlineStr">
        <is>
          <t>Count</t>
        </is>
      </c>
    </row>
    <row r="13">
      <c r="A13" s="14" t="inlineStr">
        <is>
          <t>Weak Algorithm</t>
        </is>
      </c>
      <c r="B13" s="14">
        <f>COUNTIF('Top 100 Vulnerabilities'!$C$2:$C$101,"*"&amp;A13&amp;"*")</f>
        <v/>
      </c>
    </row>
    <row r="14">
      <c r="A14" s="14" t="inlineStr">
        <is>
          <t>Key Management</t>
        </is>
      </c>
      <c r="B14" s="14">
        <f>COUNTIF('Top 100 Vulnerabilities'!$C$2:$C$101,"*"&amp;A14&amp;"*")</f>
        <v/>
      </c>
    </row>
    <row r="15">
      <c r="A15" s="14" t="inlineStr">
        <is>
          <t>Randomness</t>
        </is>
      </c>
      <c r="B15" s="14">
        <f>COUNTIF('Top 100 Vulnerabilities'!$C$2:$C$101,"*"&amp;A15&amp;"*")</f>
        <v/>
      </c>
    </row>
    <row r="16">
      <c r="A16" s="14" t="inlineStr">
        <is>
          <t>Certificate &amp; Trust</t>
        </is>
      </c>
      <c r="B16" s="14">
        <f>COUNTIF('Top 100 Vulnerabilities'!$C$2:$C$101,"*"&amp;A16&amp;"*")</f>
        <v/>
      </c>
    </row>
    <row r="17">
      <c r="A17" s="14" t="inlineStr">
        <is>
          <t>Signature &amp; Integrity</t>
        </is>
      </c>
      <c r="B17" s="14">
        <f>COUNTIF('Top 100 Vulnerabilities'!$C$2:$C$101,"*"&amp;A17&amp;"*")</f>
        <v/>
      </c>
    </row>
    <row r="18">
      <c r="A18" s="14" t="inlineStr">
        <is>
          <t>Protocol / Downgrade</t>
        </is>
      </c>
      <c r="B18" s="14">
        <f>COUNTIF('Top 100 Vulnerabilities'!$C$2:$C$101,"*"&amp;A18&amp;"*")</f>
        <v/>
      </c>
    </row>
    <row r="19">
      <c r="A19" s="14" t="inlineStr">
        <is>
          <t>Post-Quantum Readiness</t>
        </is>
      </c>
      <c r="B19" s="14">
        <f>COUNTIF('Top 100 Vulnerabilities'!$C$2:$C$101,"*"&amp;A19&amp;"*")</f>
        <v/>
      </c>
    </row>
    <row r="20">
      <c r="A20" s="14" t="inlineStr">
        <is>
          <t>Misuse Pattern</t>
        </is>
      </c>
      <c r="B20" s="14">
        <f>COUNTIF('Top 100 Vulnerabilities'!$C$2:$C$101,"*"&amp;A20&amp;"*")</f>
        <v/>
      </c>
    </row>
    <row r="21" ht="28" customHeight="1">
      <c r="A21" s="21" t="inlineStr">
        <is>
          <t>Note: rows with a compound category (e.g. 'Weak Algorithm / Key Mgmt') count toward every matching category above, so this column will not sum to 100.</t>
        </is>
      </c>
    </row>
  </sheetData>
  <mergeCells count="3">
    <mergeCell ref="A2:E2"/>
    <mergeCell ref="A21:B2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9" t="inlineStr">
        <is>
          <t>Sources &amp; Methodology</t>
        </is>
      </c>
    </row>
    <row r="2" ht="130" customHeight="1">
      <c r="A2" s="22" t="inlineStr">
        <is>
          <t>Rows are built from three tiers of sourcing, in priority order:
1) MITRE CWE v4.20 (fetched live from cwe.mitre.org) for the formally standardized weakness taxonomy. Note: CWE-310 'Cryptographic Issues' and CWE-320 'Key Management Errors' are themselves marked Vulnerability-Mapping PROHIBITED by MITRE as of this release (categories, not weaknesses) — this sheet cites their specific child weakness IDs (e.g. CWE-327, CWE-321) rather than the deprecated parent category IDs.
2) OWASP Top 10:2025, category A04:2025 'Cryptographic Failures' (released 2025-11-06; this category was A02:2021 in the prior edition) for its official CWE mapping and root-cause guidance.
3) Named, publicly disclosed real-world attacks/incidents with a CVE ID or a citable academic disclosure, for rows where a CWE ID alone would be too abstract to be actionable.</t>
        </is>
      </c>
    </row>
    <row r="5">
      <c r="A5" s="12" t="inlineStr">
        <is>
          <t>Source</t>
        </is>
      </c>
      <c r="B5" s="12" t="inlineStr">
        <is>
          <t>Reference</t>
        </is>
      </c>
    </row>
    <row r="6" ht="26" customHeight="1">
      <c r="A6" s="23" t="inlineStr">
        <is>
          <t>MITRE CWE v4.20</t>
        </is>
      </c>
      <c r="B6" s="23" t="inlineStr">
        <is>
          <t>https://cwe.mitre.org/data/definitions/310.html (and per-CWE pages linked from each row's citation)</t>
        </is>
      </c>
    </row>
    <row r="7" ht="26" customHeight="1">
      <c r="A7" s="23" t="inlineStr">
        <is>
          <t>OWASP Top 10:2025 — A04 Cryptographic Failures</t>
        </is>
      </c>
      <c r="B7" s="23" t="inlineStr">
        <is>
          <t>https://owasp.org/Top10/2025/A04_2025-Cryptographic_Failures/</t>
        </is>
      </c>
    </row>
    <row r="8" ht="26" customHeight="1">
      <c r="A8" s="23" t="inlineStr">
        <is>
          <t>OWASP Password Storage Cheat Sheet</t>
        </is>
      </c>
      <c r="B8" s="23" t="inlineStr">
        <is>
          <t>https://cheatsheetseries.owasp.org/cheatsheets/Password_Storage_Cheat_Sheet.html</t>
        </is>
      </c>
    </row>
    <row r="9" ht="26" customHeight="1">
      <c r="A9" s="23" t="inlineStr">
        <is>
          <t>OWASP Cryptographic Storage Cheat Sheet</t>
        </is>
      </c>
      <c r="B9" s="23" t="inlineStr">
        <is>
          <t>https://cheatsheetseries.owasp.org/cheatsheets/Cryptographic_Storage_Cheat_Sheet.html</t>
        </is>
      </c>
    </row>
    <row r="10" ht="26" customHeight="1">
      <c r="A10" s="23" t="inlineStr">
        <is>
          <t>NIST SP 800-131A Rev.2</t>
        </is>
      </c>
      <c r="B10" s="23" t="inlineStr">
        <is>
          <t>Transitioning the Use of Cryptographic Algorithms and Key Lengths</t>
        </is>
      </c>
    </row>
    <row r="11" ht="26" customHeight="1">
      <c r="A11" s="23" t="inlineStr">
        <is>
          <t>NIST SP 800-57 Part 1 Rev.5</t>
        </is>
      </c>
      <c r="B11" s="23" t="inlineStr">
        <is>
          <t>Recommendation for Key Management</t>
        </is>
      </c>
    </row>
    <row r="12" ht="26" customHeight="1">
      <c r="A12" s="23" t="inlineStr">
        <is>
          <t>NIST IR 8547 (initial public draft)</t>
        </is>
      </c>
      <c r="B12" s="23" t="inlineStr">
        <is>
          <t>Transition to Post-Quantum Cryptography Standards</t>
        </is>
      </c>
    </row>
    <row r="13" ht="26" customHeight="1">
      <c r="A13" s="23" t="inlineStr">
        <is>
          <t>NIST FIPS 203 / 204</t>
        </is>
      </c>
      <c r="B13" s="23" t="inlineStr">
        <is>
          <t>ML-KEM / ML-DSA — Module-Lattice-Based Key-Encapsulation / Digital Signature Standards</t>
        </is>
      </c>
    </row>
    <row r="14" ht="26" customHeight="1">
      <c r="A14" s="23" t="inlineStr">
        <is>
          <t>OMB Memorandum M-26-15</t>
        </is>
      </c>
      <c r="B14" s="23" t="inlineStr">
        <is>
          <t>Execution of the Migration to Post-Quantum Cryptography (24 Jun 2026)</t>
        </is>
      </c>
    </row>
    <row r="15" ht="26" customHeight="1">
      <c r="A15" s="23" t="inlineStr">
        <is>
          <t>DST / National Quantum Mission (India)</t>
        </is>
      </c>
      <c r="B15" s="23" t="inlineStr">
        <is>
          <t>Quantum-Safe Ecosystem in India, Roadmap to Quantum Resiliency (May 2026)</t>
        </is>
      </c>
    </row>
    <row r="16" ht="26" customHeight="1">
      <c r="A16" s="23" t="inlineStr">
        <is>
          <t>Global Risk Institute</t>
        </is>
      </c>
      <c r="B16" s="23" t="inlineStr">
        <is>
          <t>Quantum Threat Timeline Report 2025</t>
        </is>
      </c>
    </row>
    <row r="17" ht="26" customHeight="1">
      <c r="A17" s="23" t="inlineStr">
        <is>
          <t>CVE Program (cve.org)</t>
        </is>
      </c>
      <c r="B17" s="23" t="inlineStr">
        <is>
          <t>Individual CVE records cited per-row</t>
        </is>
      </c>
    </row>
    <row r="18" ht="26" customHeight="1">
      <c r="A18" s="23" t="inlineStr">
        <is>
          <t>ECDAT signature catalog (internal, cross-checked)</t>
        </is>
      </c>
      <c r="B18" s="23" t="inlineStr">
        <is>
          <t>ecdat/rules/seed_signatures.py (46 entries, 26 algorithms, Go/Java/Ruby/Python) and ecdat/attestation/negative_proof.py</t>
        </is>
      </c>
    </row>
    <row r="20" ht="70" customHeight="1">
      <c r="A20" s="24" t="inlineStr">
        <is>
          <t>'ECDAT Detects' column (Sheet 1) legend: Yes = an active signature or dedicated check exists in the current codebase for this exact pattern. Partial = a related capability exists (e.g. the algorithm is tracked, but the specific misuse context — such as a disabled certificate check — would need surrounding logic ECDAT does not yet evaluate). No = not currently covered; listed for completeness of the vulnerability landscape, not as an ECDAT capability claim.</t>
        </is>
      </c>
    </row>
  </sheetData>
  <mergeCells count="3">
    <mergeCell ref="A20:B20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2026-09-27T03:49:16Z</dcterms:created>
  <dcterms:modified xmlns:dcterms="http://purl.org/dc/terms/" xmlns:xsi="http://www.w3.org/2001/XMLSchema-instance" xsi:type="dcterms:W3CDTF">2026-09-27T03:49:16Z</dcterms:modified>
</cp:coreProperties>
</file>